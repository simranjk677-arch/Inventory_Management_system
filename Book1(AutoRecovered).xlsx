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tables/table4.xml" ContentType="application/vnd.openxmlformats-officedocument.spreadsheetml.table+xml"/>
  <Override PartName="/xl/drawings/drawing7.xml" ContentType="application/vnd.openxmlformats-officedocument.drawing+xml"/>
  <Override PartName="/xl/tables/table5.xml" ContentType="application/vnd.openxmlformats-officedocument.spreadsheetml.table+xml"/>
  <Override PartName="/xl/drawings/drawing8.xml" ContentType="application/vnd.openxmlformats-officedocument.drawing+xml"/>
  <Override PartName="/xl/tables/table6.xml" ContentType="application/vnd.openxmlformats-officedocument.spreadsheetml.table+xml"/>
  <Override PartName="/xl/drawings/drawing9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c74c3fb4d01f9e0/Desktop/inventory mgt automatic/"/>
    </mc:Choice>
  </mc:AlternateContent>
  <xr:revisionPtr revIDLastSave="662" documentId="8_{60F82112-7F19-4465-B959-389DA4650DFE}" xr6:coauthVersionLast="47" xr6:coauthVersionMax="47" xr10:uidLastSave="{53A4F850-3865-47EC-92CB-ED2A4D8BBEA2}"/>
  <bookViews>
    <workbookView xWindow="-110" yWindow="-110" windowWidth="19420" windowHeight="11500" tabRatio="834" activeTab="1" xr2:uid="{E570938F-51C9-4FE9-8060-A5AB73427AD4}"/>
  </bookViews>
  <sheets>
    <sheet name="Sheet1" sheetId="10" r:id="rId1"/>
    <sheet name="Dashboard" sheetId="1" r:id="rId2"/>
    <sheet name="Customers" sheetId="2" r:id="rId3"/>
    <sheet name="Products" sheetId="3" r:id="rId4"/>
    <sheet name="Vendors" sheetId="4" r:id="rId5"/>
    <sheet name="New Entry" sheetId="5" r:id="rId6"/>
    <sheet name="Purchase" sheetId="6" r:id="rId7"/>
    <sheet name="Sales" sheetId="7" r:id="rId8"/>
    <sheet name="Inventory" sheetId="8" r:id="rId9"/>
    <sheet name="Pivots" sheetId="9" r:id="rId10"/>
  </sheets>
  <definedNames>
    <definedName name="Customer_ID">Customers_data[Customer ID]</definedName>
    <definedName name="hsncode">Products_data[[HSN Code ]]</definedName>
  </definedNames>
  <calcPr calcId="191029"/>
  <pivotCaches>
    <pivotCache cacheId="59" r:id="rId11"/>
    <pivotCache cacheId="63" r:id="rId12"/>
    <pivotCache cacheId="66" r:id="rId13"/>
    <pivotCache cacheId="69" r:id="rId14"/>
    <pivotCache cacheId="72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10" l="1"/>
  <c r="C13" i="10"/>
  <c r="C9" i="10"/>
  <c r="C6" i="10"/>
  <c r="C3" i="10"/>
  <c r="D19" i="8"/>
  <c r="E19" i="8"/>
  <c r="F19" i="8"/>
  <c r="D8" i="8"/>
  <c r="E8" i="8"/>
  <c r="F8" i="8"/>
  <c r="D9" i="8"/>
  <c r="E9" i="8"/>
  <c r="F9" i="8"/>
  <c r="D10" i="8"/>
  <c r="E10" i="8"/>
  <c r="F10" i="8"/>
  <c r="D11" i="8"/>
  <c r="E11" i="8"/>
  <c r="F11" i="8"/>
  <c r="D12" i="8"/>
  <c r="E12" i="8"/>
  <c r="G12" i="8" s="1"/>
  <c r="F12" i="8"/>
  <c r="D13" i="8"/>
  <c r="E13" i="8"/>
  <c r="H13" i="8" s="1"/>
  <c r="F13" i="8"/>
  <c r="D14" i="8"/>
  <c r="E14" i="8"/>
  <c r="F14" i="8"/>
  <c r="D15" i="8"/>
  <c r="E15" i="8"/>
  <c r="F15" i="8"/>
  <c r="D16" i="8"/>
  <c r="E16" i="8"/>
  <c r="F16" i="8"/>
  <c r="D17" i="8"/>
  <c r="E17" i="8"/>
  <c r="F17" i="8"/>
  <c r="D18" i="8"/>
  <c r="E18" i="8"/>
  <c r="F18" i="8"/>
  <c r="E7" i="8"/>
  <c r="F7" i="8"/>
  <c r="D7" i="8"/>
  <c r="H8" i="7"/>
  <c r="H9" i="7"/>
  <c r="H10" i="7"/>
  <c r="H11" i="7"/>
  <c r="H12" i="7"/>
  <c r="H13" i="7"/>
  <c r="H14" i="7"/>
  <c r="H15" i="7"/>
  <c r="H16" i="7"/>
  <c r="H17" i="7"/>
  <c r="H18" i="7"/>
  <c r="H7" i="7"/>
  <c r="L19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K8" i="7"/>
  <c r="L8" i="7" s="1"/>
  <c r="K9" i="7"/>
  <c r="L9" i="7" s="1"/>
  <c r="K10" i="7"/>
  <c r="L10" i="7" s="1"/>
  <c r="K11" i="7"/>
  <c r="L11" i="7" s="1"/>
  <c r="K12" i="7"/>
  <c r="L12" i="7" s="1"/>
  <c r="K13" i="7"/>
  <c r="L13" i="7" s="1"/>
  <c r="K14" i="7"/>
  <c r="L14" i="7" s="1"/>
  <c r="K15" i="7"/>
  <c r="L15" i="7" s="1"/>
  <c r="K16" i="7"/>
  <c r="L16" i="7" s="1"/>
  <c r="K17" i="7"/>
  <c r="L17" i="7" s="1"/>
  <c r="K18" i="7"/>
  <c r="L18" i="7" s="1"/>
  <c r="K19" i="7"/>
  <c r="K20" i="7"/>
  <c r="L20" i="7" s="1"/>
  <c r="K21" i="7"/>
  <c r="L21" i="7" s="1"/>
  <c r="K22" i="7"/>
  <c r="L22" i="7" s="1"/>
  <c r="K23" i="7"/>
  <c r="L23" i="7" s="1"/>
  <c r="K7" i="7"/>
  <c r="L7" i="7" s="1"/>
  <c r="G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7" i="7"/>
  <c r="J17" i="6"/>
  <c r="F7" i="6"/>
  <c r="F8" i="6"/>
  <c r="F9" i="6"/>
  <c r="F10" i="6"/>
  <c r="F11" i="6"/>
  <c r="F12" i="6"/>
  <c r="F13" i="6"/>
  <c r="F14" i="6"/>
  <c r="F15" i="6"/>
  <c r="F16" i="6"/>
  <c r="F17" i="6"/>
  <c r="F18" i="6"/>
  <c r="I7" i="6"/>
  <c r="J7" i="6" s="1"/>
  <c r="I8" i="6"/>
  <c r="J8" i="6" s="1"/>
  <c r="I9" i="6"/>
  <c r="J9" i="6" s="1"/>
  <c r="I10" i="6"/>
  <c r="J10" i="6" s="1"/>
  <c r="I11" i="6"/>
  <c r="J11" i="6" s="1"/>
  <c r="I12" i="6"/>
  <c r="J12" i="6" s="1"/>
  <c r="I13" i="6"/>
  <c r="J13" i="6" s="1"/>
  <c r="I14" i="6"/>
  <c r="J14" i="6" s="1"/>
  <c r="I15" i="6"/>
  <c r="J15" i="6" s="1"/>
  <c r="I16" i="6"/>
  <c r="J16" i="6" s="1"/>
  <c r="I17" i="6"/>
  <c r="I18" i="6"/>
  <c r="J18" i="6" s="1"/>
  <c r="E8" i="6"/>
  <c r="E9" i="6"/>
  <c r="E10" i="6"/>
  <c r="E11" i="6"/>
  <c r="E12" i="6"/>
  <c r="E13" i="6"/>
  <c r="E14" i="6"/>
  <c r="E15" i="6"/>
  <c r="E16" i="6"/>
  <c r="E17" i="6"/>
  <c r="E18" i="6"/>
  <c r="E7" i="6"/>
  <c r="C20" i="10" l="1"/>
  <c r="G18" i="8"/>
  <c r="G10" i="8"/>
  <c r="H15" i="8"/>
  <c r="H19" i="8"/>
  <c r="G9" i="8"/>
  <c r="G15" i="8"/>
  <c r="G17" i="8"/>
  <c r="H14" i="8"/>
  <c r="H11" i="8"/>
  <c r="G7" i="8"/>
  <c r="H16" i="8"/>
  <c r="H8" i="8"/>
  <c r="I24" i="7"/>
  <c r="G19" i="8"/>
  <c r="G13" i="8"/>
  <c r="I13" i="8" s="1"/>
  <c r="K13" i="8" s="1"/>
  <c r="H7" i="8"/>
  <c r="H9" i="8"/>
  <c r="I9" i="8" s="1"/>
  <c r="G11" i="8"/>
  <c r="H17" i="8"/>
  <c r="I23" i="7"/>
  <c r="G16" i="8"/>
  <c r="G8" i="8"/>
  <c r="H12" i="8"/>
  <c r="I22" i="7"/>
  <c r="I21" i="7"/>
  <c r="G14" i="8"/>
  <c r="H18" i="8"/>
  <c r="I18" i="8" s="1"/>
  <c r="K18" i="8" s="1"/>
  <c r="H10" i="8"/>
  <c r="I20" i="7"/>
  <c r="I19" i="7"/>
  <c r="I16" i="8" l="1"/>
  <c r="K16" i="8" s="1"/>
  <c r="I8" i="8"/>
  <c r="K8" i="8" s="1"/>
  <c r="I19" i="8"/>
  <c r="K19" i="8" s="1"/>
  <c r="K9" i="8"/>
  <c r="I7" i="7"/>
  <c r="I7" i="8"/>
  <c r="K7" i="8" s="1"/>
  <c r="I15" i="8"/>
  <c r="K15" i="8" s="1"/>
  <c r="I10" i="8"/>
  <c r="K10" i="8" s="1"/>
  <c r="I17" i="8"/>
  <c r="K17" i="8" s="1"/>
  <c r="I14" i="8"/>
  <c r="K14" i="8" s="1"/>
  <c r="I11" i="8"/>
  <c r="K11" i="8" s="1"/>
  <c r="I11" i="7"/>
  <c r="J19" i="8"/>
  <c r="J18" i="8"/>
  <c r="I13" i="7"/>
  <c r="I12" i="8"/>
  <c r="I16" i="7"/>
  <c r="J16" i="8"/>
  <c r="I12" i="7"/>
  <c r="J14" i="8"/>
  <c r="J9" i="8"/>
  <c r="J13" i="8"/>
  <c r="J8" i="8" l="1"/>
  <c r="K12" i="8"/>
  <c r="I10" i="7"/>
  <c r="I14" i="7"/>
  <c r="I9" i="7"/>
  <c r="J11" i="8"/>
  <c r="I8" i="7"/>
  <c r="I17" i="7"/>
  <c r="J10" i="8"/>
  <c r="I18" i="7"/>
  <c r="J17" i="8"/>
  <c r="J15" i="8"/>
  <c r="M12" i="1" a="1"/>
  <c r="M12" i="1" s="1"/>
  <c r="J7" i="8"/>
  <c r="I15" i="7"/>
  <c r="J12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<sst xmlns="http://schemas.openxmlformats.org/spreadsheetml/2006/main" count="196" uniqueCount="97">
  <si>
    <t>Customer ID</t>
  </si>
  <si>
    <t>Name</t>
  </si>
  <si>
    <t>E-Mail</t>
  </si>
  <si>
    <t>Address</t>
  </si>
  <si>
    <t>Rakesh</t>
  </si>
  <si>
    <t>Suresh</t>
  </si>
  <si>
    <t>Nimit</t>
  </si>
  <si>
    <t>Naina</t>
  </si>
  <si>
    <t>Sneha</t>
  </si>
  <si>
    <t>Sunaiana</t>
  </si>
  <si>
    <t>Priya</t>
  </si>
  <si>
    <t>rakesh67@gmail.com</t>
  </si>
  <si>
    <t>naina67@gmail.com</t>
  </si>
  <si>
    <t>sneha67@gmail.com</t>
  </si>
  <si>
    <t>sunaiana67@gmail.com</t>
  </si>
  <si>
    <t>priya67@gmail.com</t>
  </si>
  <si>
    <t>suresh87@gmail.com</t>
  </si>
  <si>
    <t>nimit007@gmail.com</t>
  </si>
  <si>
    <t>Delhi</t>
  </si>
  <si>
    <t>Chennai</t>
  </si>
  <si>
    <t>Pune</t>
  </si>
  <si>
    <t>Rajkot</t>
  </si>
  <si>
    <t>Dehradun</t>
  </si>
  <si>
    <t>Meerat</t>
  </si>
  <si>
    <t>Manali</t>
  </si>
  <si>
    <t>Nidhi</t>
  </si>
  <si>
    <t>nidhi00756@gmail.com</t>
  </si>
  <si>
    <t>Chandigarh</t>
  </si>
  <si>
    <t xml:space="preserve">HSN Code </t>
  </si>
  <si>
    <t>Product Name</t>
  </si>
  <si>
    <t>Cost</t>
  </si>
  <si>
    <t>Selling Price</t>
  </si>
  <si>
    <t>N1001</t>
  </si>
  <si>
    <t>N1002</t>
  </si>
  <si>
    <t>N1003</t>
  </si>
  <si>
    <t>N1004</t>
  </si>
  <si>
    <t>N1005</t>
  </si>
  <si>
    <t>N1006</t>
  </si>
  <si>
    <t>N1007</t>
  </si>
  <si>
    <t>N1008</t>
  </si>
  <si>
    <t>N1009</t>
  </si>
  <si>
    <t>N1010</t>
  </si>
  <si>
    <t>Smart Watch</t>
  </si>
  <si>
    <t>Laptop</t>
  </si>
  <si>
    <t>Wireless Printer</t>
  </si>
  <si>
    <t>Desktop</t>
  </si>
  <si>
    <t>Mouse</t>
  </si>
  <si>
    <t>RGB Keyboard</t>
  </si>
  <si>
    <t xml:space="preserve">Camera </t>
  </si>
  <si>
    <t>Headphones</t>
  </si>
  <si>
    <t>Speakers</t>
  </si>
  <si>
    <t>Tablets</t>
  </si>
  <si>
    <t>Vendor Name</t>
  </si>
  <si>
    <t xml:space="preserve">Phone </t>
  </si>
  <si>
    <t>Tech99</t>
  </si>
  <si>
    <t>GG Traders</t>
  </si>
  <si>
    <t>Compac</t>
  </si>
  <si>
    <t>Faridabad</t>
  </si>
  <si>
    <t>Gurgaon</t>
  </si>
  <si>
    <t>New Delhi</t>
  </si>
  <si>
    <t>Purchase Entry</t>
  </si>
  <si>
    <t>Sale Entry</t>
  </si>
  <si>
    <t xml:space="preserve"> </t>
  </si>
  <si>
    <t>HSN Code</t>
  </si>
  <si>
    <t>Vendor</t>
  </si>
  <si>
    <t xml:space="preserve">Date </t>
  </si>
  <si>
    <t>Units</t>
  </si>
  <si>
    <t>Amount</t>
  </si>
  <si>
    <t xml:space="preserve">Cust ID </t>
  </si>
  <si>
    <t>Cust Name</t>
  </si>
  <si>
    <t>Date</t>
  </si>
  <si>
    <t>Stock</t>
  </si>
  <si>
    <t>Price</t>
  </si>
  <si>
    <t>P Units</t>
  </si>
  <si>
    <t>S Units</t>
  </si>
  <si>
    <t>Stock Amount</t>
  </si>
  <si>
    <t>Count of Name</t>
  </si>
  <si>
    <t>Drishti</t>
  </si>
  <si>
    <t>drishti@gmail.com</t>
  </si>
  <si>
    <t>Kolkata</t>
  </si>
  <si>
    <t>Count of Product Name</t>
  </si>
  <si>
    <t>Total Customers</t>
  </si>
  <si>
    <t>Total Products</t>
  </si>
  <si>
    <t>Sum of Amount</t>
  </si>
  <si>
    <t>Total Purchase Amount</t>
  </si>
  <si>
    <t>Total Sales Amount</t>
  </si>
  <si>
    <t>Sum of Stock Amount</t>
  </si>
  <si>
    <t>Total Stock Amount</t>
  </si>
  <si>
    <t>Profit/Loss</t>
  </si>
  <si>
    <t>Grand Total</t>
  </si>
  <si>
    <t>Row Labels</t>
  </si>
  <si>
    <t>Sum of S Units</t>
  </si>
  <si>
    <t>NOTIFICATION !</t>
  </si>
  <si>
    <t xml:space="preserve">Notification </t>
  </si>
  <si>
    <t>Sum of Stock</t>
  </si>
  <si>
    <t>Rudhav</t>
  </si>
  <si>
    <t>rudhav@gmail.com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</si>
</sst>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5" formatCode="&quot;₹&quot;\ #,##0;&quot;₹&quot;\ \-#,##0"/>
    <numFmt numFmtId="43" formatCode="_ * #,##0.00_ ;_ * \-#,##0.00_ ;_ * &quot;-&quot;??_ ;_ @_ "/>
    <numFmt numFmtId="164" formatCode="_ * #,##0_ ;_ * \-#,##0_ ;_ * &quot;-&quot;??_ ;_ @_ 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u/>
      <sz val="14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32">
    <xf numFmtId="0" fontId="0" fillId="0" borderId="0" xfId="0"/>
    <xf numFmtId="0" fontId="0" fillId="2" borderId="0" xfId="0" applyFill="1"/>
    <xf numFmtId="0" fontId="0" fillId="3" borderId="0" xfId="0" applyFill="1"/>
    <xf numFmtId="0" fontId="0" fillId="2" borderId="0" xfId="0" applyFill="1" applyAlignment="1">
      <alignment horizontal="center"/>
    </xf>
    <xf numFmtId="43" fontId="0" fillId="2" borderId="0" xfId="1" applyFont="1" applyFill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3" fillId="2" borderId="0" xfId="2" applyFill="1"/>
    <xf numFmtId="0" fontId="1" fillId="2" borderId="0" xfId="0" applyFont="1" applyFill="1"/>
    <xf numFmtId="14" fontId="0" fillId="2" borderId="0" xfId="0" applyNumberFormat="1" applyFill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5" fontId="0" fillId="0" borderId="0" xfId="1" applyNumberFormat="1" applyFont="1"/>
    <xf numFmtId="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5" fillId="4" borderId="0" xfId="0" applyFont="1" applyFill="1"/>
    <xf numFmtId="0" fontId="6" fillId="4" borderId="0" xfId="0" applyFont="1" applyFill="1"/>
    <xf numFmtId="164" fontId="0" fillId="0" borderId="0" xfId="0" applyNumberFormat="1"/>
    <xf numFmtId="0" fontId="6" fillId="2" borderId="0" xfId="0" applyFont="1" applyFill="1"/>
    <xf numFmtId="0" fontId="6" fillId="2" borderId="0" xfId="0" applyFont="1" applyFill="1" applyAlignment="1">
      <alignment horizontal="center"/>
    </xf>
    <xf numFmtId="0" fontId="7" fillId="2" borderId="0" xfId="2" applyFont="1" applyFill="1" applyAlignment="1">
      <alignment horizontal="center"/>
    </xf>
    <xf numFmtId="0" fontId="0" fillId="0" borderId="0" xfId="0" applyNumberFormat="1"/>
  </cellXfs>
  <cellStyles count="3">
    <cellStyle name="Comma" xfId="1" builtinId="3"/>
    <cellStyle name="Hyperlink" xfId="2" builtinId="8"/>
    <cellStyle name="Normal" xfId="0" builtinId="0"/>
  </cellStyles>
  <dxfs count="55">
    <dxf>
      <numFmt numFmtId="164" formatCode="_ * #,##0_ ;_ * \-#,##0_ ;_ * &quot;-&quot;??_ ;_ @_ "/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0" formatCode="General"/>
      <fill>
        <patternFill patternType="solid">
          <fgColor indexed="64"/>
          <bgColor theme="2" tint="-9.9978637043366805E-2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2" tint="-9.9978637043366805E-2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2" tint="-9.9978637043366805E-2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2" tint="-9.9978637043366805E-2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2" tint="-9.9978637043366805E-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2" tint="-9.9978637043366805E-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2" tint="-9.9978637043366805E-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2" tint="-9.9978637043366805E-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2" tint="-9.9978637043366805E-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2" tint="-9.9978637043366805E-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2" tint="-9.9978637043366805E-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2" tint="-9.9978637043366805E-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2" tint="-9.9978637043366805E-2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2" tint="-9.9978637043366805E-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2" tint="-9.9978637043366805E-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2" tint="-9.9978637043366805E-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2" tint="-9.9978637043366805E-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2" tint="-9.9978637043366805E-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2" tint="-9.9978637043366805E-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2" tint="-9.9978637043366805E-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2" tint="-9.9978637043366805E-2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2" tint="-9.9978637043366805E-2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2" tint="-9.9978637043366805E-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2" tint="-9.9978637043366805E-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2" tint="-9.9978637043366805E-2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2" tint="-9.9978637043366805E-2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2" tint="-9.9978637043366805E-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2" tint="-9.9978637043366805E-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2" tint="-9.9978637043366805E-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2" tint="-9.9978637043366805E-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2" tint="-9.9978637043366805E-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2" tint="-9.9978637043366805E-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2" tint="-9.9978637043366805E-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theme="1"/>
        </right>
        <top style="thin">
          <color theme="1"/>
        </top>
        <bottom style="thin">
          <color theme="1"/>
        </bottom>
      </border>
    </dxf>
    <dxf>
      <border outline="0">
        <left style="thin">
          <color theme="1"/>
        </left>
      </border>
    </dxf>
    <dxf>
      <fill>
        <patternFill patternType="solid">
          <fgColor indexed="64"/>
          <bgColor theme="2" tint="-9.9978637043366805E-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2" tint="-9.9978637043366805E-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2" tint="-9.9978637043366805E-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2" tint="-9.9978637043366805E-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2" tint="-9.9978637043366805E-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2" tint="-9.9978637043366805E-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4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4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4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4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4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4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</dxf>
    <dxf>
      <numFmt numFmtId="164" formatCode="_ * #,##0_ ;_ * \-#,##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5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[Book1(AutoRecovered).xlsx]Sheet1!PivotTable6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Top</a:t>
            </a:r>
            <a:r>
              <a:rPr lang="en-US" b="1" baseline="0">
                <a:solidFill>
                  <a:sysClr val="windowText" lastClr="000000"/>
                </a:solidFill>
              </a:rPr>
              <a:t> 5 Products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1007975935660836"/>
          <c:y val="0.23254076973043403"/>
          <c:w val="0.60008861451851869"/>
          <c:h val="0.61814250570883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Sheet1!$F$2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Sheet1!$E$3:$E$9</c:f>
              <c:strCache>
                <c:ptCount val="6"/>
                <c:pt idx="0">
                  <c:v>Camera </c:v>
                </c:pt>
                <c:pt idx="1">
                  <c:v>RGB Keyboard</c:v>
                </c:pt>
                <c:pt idx="2">
                  <c:v>Headphones</c:v>
                </c:pt>
                <c:pt idx="3">
                  <c:v>Wireless Printer</c:v>
                </c:pt>
                <c:pt idx="4">
                  <c:v>Desktop</c:v>
                </c:pt>
                <c:pt idx="5">
                  <c:v>Smart Watch</c:v>
                </c:pt>
              </c:strCache>
            </c:strRef>
          </c:cat>
          <c:val>
            <c:numRef>
              <c:f>Sheet1!$F$3:$F$9</c:f>
              <c:numCache>
                <c:formatCode>General</c:formatCode>
                <c:ptCount val="6"/>
                <c:pt idx="0">
                  <c:v>64</c:v>
                </c:pt>
                <c:pt idx="1">
                  <c:v>50</c:v>
                </c:pt>
                <c:pt idx="2">
                  <c:v>45</c:v>
                </c:pt>
                <c:pt idx="3">
                  <c:v>39</c:v>
                </c:pt>
                <c:pt idx="4">
                  <c:v>35</c:v>
                </c:pt>
                <c:pt idx="5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36-4305-9A0B-517F4A448B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07537712"/>
        <c:axId val="707538672"/>
      </c:barChart>
      <c:catAx>
        <c:axId val="7075377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538672"/>
        <c:crosses val="autoZero"/>
        <c:auto val="1"/>
        <c:lblAlgn val="ctr"/>
        <c:lblOffset val="100"/>
        <c:noMultiLvlLbl val="0"/>
      </c:catAx>
      <c:valAx>
        <c:axId val="707538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537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[Book1(AutoRecovered).xlsx]Sheet1!PivotTable9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Top</a:t>
            </a:r>
            <a:r>
              <a:rPr lang="en-US" b="1" baseline="0">
                <a:solidFill>
                  <a:sysClr val="windowText" lastClr="000000"/>
                </a:solidFill>
              </a:rPr>
              <a:t> 5 Customers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Sheet1!$I$2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Sheet1!$H$3:$H$8</c:f>
              <c:strCache>
                <c:ptCount val="5"/>
                <c:pt idx="0">
                  <c:v>Naina</c:v>
                </c:pt>
                <c:pt idx="1">
                  <c:v>Priya</c:v>
                </c:pt>
                <c:pt idx="2">
                  <c:v>Sunaiana</c:v>
                </c:pt>
                <c:pt idx="3">
                  <c:v>Nimit</c:v>
                </c:pt>
                <c:pt idx="4">
                  <c:v>Nidhi</c:v>
                </c:pt>
              </c:strCache>
            </c:strRef>
          </c:cat>
          <c:val>
            <c:numRef>
              <c:f>Sheet1!$I$3:$I$8</c:f>
              <c:numCache>
                <c:formatCode>_ * #,##0_ ;_ * \-#,##0_ ;_ * "-"??_ ;_ @_ </c:formatCode>
                <c:ptCount val="5"/>
                <c:pt idx="0">
                  <c:v>3648000</c:v>
                </c:pt>
                <c:pt idx="1">
                  <c:v>673000</c:v>
                </c:pt>
                <c:pt idx="2">
                  <c:v>455000</c:v>
                </c:pt>
                <c:pt idx="3">
                  <c:v>342600</c:v>
                </c:pt>
                <c:pt idx="4">
                  <c:v>277000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88-450A-A7F1-53F084D679A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67570848"/>
        <c:axId val="267571328"/>
      </c:barChart>
      <c:catAx>
        <c:axId val="26757084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571328"/>
        <c:crosses val="autoZero"/>
        <c:auto val="1"/>
        <c:lblAlgn val="ctr"/>
        <c:lblOffset val="100"/>
        <c:noMultiLvlLbl val="0"/>
      </c:catAx>
      <c:valAx>
        <c:axId val="267571328"/>
        <c:scaling>
          <c:orientation val="minMax"/>
        </c:scaling>
        <c:delete val="1"/>
        <c:axPos val="b"/>
        <c:numFmt formatCode="_ * #,##0_ ;_ * \-#,##0_ ;_ * &quot;-&quot;??_ ;_ @_ " sourceLinked="1"/>
        <c:majorTickMark val="out"/>
        <c:minorTickMark val="none"/>
        <c:tickLblPos val="nextTo"/>
        <c:crossAx val="267570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[Book1(AutoRecovered).xlsx]Sheet1!PivotTable10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ysClr val="windowText" lastClr="000000"/>
                </a:solidFill>
              </a:rPr>
              <a:t>Total</a:t>
            </a:r>
            <a:r>
              <a:rPr lang="en-IN" b="1" baseline="0">
                <a:solidFill>
                  <a:sysClr val="windowText" lastClr="000000"/>
                </a:solidFill>
              </a:rPr>
              <a:t> Stock</a:t>
            </a:r>
            <a:endParaRPr lang="en-IN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Sheet1!$B$25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Sheet1!$A$26:$A$36</c:f>
              <c:strCache>
                <c:ptCount val="10"/>
                <c:pt idx="0">
                  <c:v>Desktop</c:v>
                </c:pt>
                <c:pt idx="1">
                  <c:v>Headphones</c:v>
                </c:pt>
                <c:pt idx="2">
                  <c:v>Smart Watch</c:v>
                </c:pt>
                <c:pt idx="3">
                  <c:v>Speakers</c:v>
                </c:pt>
                <c:pt idx="4">
                  <c:v>Laptop</c:v>
                </c:pt>
                <c:pt idx="5">
                  <c:v>Tablets</c:v>
                </c:pt>
                <c:pt idx="6">
                  <c:v>Wireless Printer</c:v>
                </c:pt>
                <c:pt idx="7">
                  <c:v>Mouse</c:v>
                </c:pt>
                <c:pt idx="8">
                  <c:v>Camera </c:v>
                </c:pt>
                <c:pt idx="9">
                  <c:v>RGB Keyboard</c:v>
                </c:pt>
              </c:strCache>
            </c:strRef>
          </c:cat>
          <c:val>
            <c:numRef>
              <c:f>Sheet1!$B$26:$B$36</c:f>
              <c:numCache>
                <c:formatCode>General</c:formatCode>
                <c:ptCount val="10"/>
                <c:pt idx="0">
                  <c:v>54</c:v>
                </c:pt>
                <c:pt idx="1">
                  <c:v>53</c:v>
                </c:pt>
                <c:pt idx="2">
                  <c:v>48</c:v>
                </c:pt>
                <c:pt idx="3">
                  <c:v>35</c:v>
                </c:pt>
                <c:pt idx="4">
                  <c:v>35</c:v>
                </c:pt>
                <c:pt idx="5">
                  <c:v>13</c:v>
                </c:pt>
                <c:pt idx="6">
                  <c:v>6</c:v>
                </c:pt>
                <c:pt idx="7">
                  <c:v>6</c:v>
                </c:pt>
                <c:pt idx="8">
                  <c:v>3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2B-4764-96F8-742D409DECB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76357072"/>
        <c:axId val="776374832"/>
      </c:barChart>
      <c:catAx>
        <c:axId val="776357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374832"/>
        <c:crosses val="autoZero"/>
        <c:auto val="1"/>
        <c:lblAlgn val="ctr"/>
        <c:lblOffset val="100"/>
        <c:noMultiLvlLbl val="0"/>
      </c:catAx>
      <c:valAx>
        <c:axId val="7763748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357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'New Entry'!A1"/><Relationship Id="rId13" Type="http://schemas.openxmlformats.org/officeDocument/2006/relationships/image" Target="../media/image5.png"/><Relationship Id="rId18" Type="http://schemas.openxmlformats.org/officeDocument/2006/relationships/image" Target="../media/image10.svg"/><Relationship Id="rId26" Type="http://schemas.openxmlformats.org/officeDocument/2006/relationships/image" Target="../media/image18.svg"/><Relationship Id="rId3" Type="http://schemas.openxmlformats.org/officeDocument/2006/relationships/hyperlink" Target="#Dashboard!A1"/><Relationship Id="rId21" Type="http://schemas.openxmlformats.org/officeDocument/2006/relationships/image" Target="../media/image13.png"/><Relationship Id="rId7" Type="http://schemas.openxmlformats.org/officeDocument/2006/relationships/hyperlink" Target="#Purchase!A1"/><Relationship Id="rId12" Type="http://schemas.openxmlformats.org/officeDocument/2006/relationships/image" Target="../media/image4.svg"/><Relationship Id="rId17" Type="http://schemas.openxmlformats.org/officeDocument/2006/relationships/image" Target="../media/image9.png"/><Relationship Id="rId25" Type="http://schemas.openxmlformats.org/officeDocument/2006/relationships/image" Target="../media/image17.png"/><Relationship Id="rId2" Type="http://schemas.openxmlformats.org/officeDocument/2006/relationships/image" Target="../media/image2.svg"/><Relationship Id="rId16" Type="http://schemas.openxmlformats.org/officeDocument/2006/relationships/image" Target="../media/image8.svg"/><Relationship Id="rId20" Type="http://schemas.openxmlformats.org/officeDocument/2006/relationships/image" Target="../media/image12.svg"/><Relationship Id="rId29" Type="http://schemas.openxmlformats.org/officeDocument/2006/relationships/chart" Target="../charts/chart3.xml"/><Relationship Id="rId1" Type="http://schemas.openxmlformats.org/officeDocument/2006/relationships/image" Target="../media/image1.png"/><Relationship Id="rId6" Type="http://schemas.openxmlformats.org/officeDocument/2006/relationships/hyperlink" Target="#Vendors!A1"/><Relationship Id="rId11" Type="http://schemas.openxmlformats.org/officeDocument/2006/relationships/image" Target="../media/image3.png"/><Relationship Id="rId24" Type="http://schemas.openxmlformats.org/officeDocument/2006/relationships/image" Target="../media/image16.svg"/><Relationship Id="rId5" Type="http://schemas.openxmlformats.org/officeDocument/2006/relationships/hyperlink" Target="#Products!A1"/><Relationship Id="rId15" Type="http://schemas.openxmlformats.org/officeDocument/2006/relationships/image" Target="../media/image7.png"/><Relationship Id="rId23" Type="http://schemas.openxmlformats.org/officeDocument/2006/relationships/image" Target="../media/image15.png"/><Relationship Id="rId28" Type="http://schemas.openxmlformats.org/officeDocument/2006/relationships/chart" Target="../charts/chart2.xml"/><Relationship Id="rId10" Type="http://schemas.openxmlformats.org/officeDocument/2006/relationships/hyperlink" Target="#Inventory!A1"/><Relationship Id="rId19" Type="http://schemas.openxmlformats.org/officeDocument/2006/relationships/image" Target="../media/image11.png"/><Relationship Id="rId31" Type="http://schemas.openxmlformats.org/officeDocument/2006/relationships/image" Target="../media/image20.svg"/><Relationship Id="rId4" Type="http://schemas.openxmlformats.org/officeDocument/2006/relationships/hyperlink" Target="#Customers!A1"/><Relationship Id="rId9" Type="http://schemas.openxmlformats.org/officeDocument/2006/relationships/hyperlink" Target="#Sales!A1"/><Relationship Id="rId14" Type="http://schemas.openxmlformats.org/officeDocument/2006/relationships/image" Target="../media/image6.svg"/><Relationship Id="rId22" Type="http://schemas.openxmlformats.org/officeDocument/2006/relationships/image" Target="../media/image14.svg"/><Relationship Id="rId27" Type="http://schemas.openxmlformats.org/officeDocument/2006/relationships/chart" Target="../charts/chart1.xml"/><Relationship Id="rId30" Type="http://schemas.openxmlformats.org/officeDocument/2006/relationships/image" Target="../media/image1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'New Entry'!A1"/><Relationship Id="rId13" Type="http://schemas.openxmlformats.org/officeDocument/2006/relationships/image" Target="../media/image23.png"/><Relationship Id="rId18" Type="http://schemas.openxmlformats.org/officeDocument/2006/relationships/image" Target="../media/image10.svg"/><Relationship Id="rId26" Type="http://schemas.openxmlformats.org/officeDocument/2006/relationships/image" Target="../media/image18.svg"/><Relationship Id="rId3" Type="http://schemas.openxmlformats.org/officeDocument/2006/relationships/hyperlink" Target="#Dashboard!A1"/><Relationship Id="rId21" Type="http://schemas.openxmlformats.org/officeDocument/2006/relationships/image" Target="../media/image13.png"/><Relationship Id="rId7" Type="http://schemas.openxmlformats.org/officeDocument/2006/relationships/hyperlink" Target="#Purchase!A1"/><Relationship Id="rId12" Type="http://schemas.openxmlformats.org/officeDocument/2006/relationships/image" Target="../media/image22.svg"/><Relationship Id="rId17" Type="http://schemas.openxmlformats.org/officeDocument/2006/relationships/image" Target="../media/image9.png"/><Relationship Id="rId25" Type="http://schemas.openxmlformats.org/officeDocument/2006/relationships/image" Target="../media/image17.png"/><Relationship Id="rId2" Type="http://schemas.openxmlformats.org/officeDocument/2006/relationships/image" Target="../media/image2.svg"/><Relationship Id="rId16" Type="http://schemas.openxmlformats.org/officeDocument/2006/relationships/image" Target="../media/image8.svg"/><Relationship Id="rId20" Type="http://schemas.openxmlformats.org/officeDocument/2006/relationships/image" Target="../media/image12.svg"/><Relationship Id="rId1" Type="http://schemas.openxmlformats.org/officeDocument/2006/relationships/image" Target="../media/image1.png"/><Relationship Id="rId6" Type="http://schemas.openxmlformats.org/officeDocument/2006/relationships/hyperlink" Target="#Vendors!A1"/><Relationship Id="rId11" Type="http://schemas.openxmlformats.org/officeDocument/2006/relationships/image" Target="../media/image21.png"/><Relationship Id="rId24" Type="http://schemas.openxmlformats.org/officeDocument/2006/relationships/image" Target="../media/image16.svg"/><Relationship Id="rId5" Type="http://schemas.openxmlformats.org/officeDocument/2006/relationships/hyperlink" Target="#Products!A1"/><Relationship Id="rId15" Type="http://schemas.openxmlformats.org/officeDocument/2006/relationships/image" Target="../media/image7.png"/><Relationship Id="rId23" Type="http://schemas.openxmlformats.org/officeDocument/2006/relationships/image" Target="../media/image15.png"/><Relationship Id="rId10" Type="http://schemas.openxmlformats.org/officeDocument/2006/relationships/hyperlink" Target="#Inventory!A1"/><Relationship Id="rId19" Type="http://schemas.openxmlformats.org/officeDocument/2006/relationships/image" Target="../media/image11.png"/><Relationship Id="rId4" Type="http://schemas.openxmlformats.org/officeDocument/2006/relationships/hyperlink" Target="#Customers!A1"/><Relationship Id="rId9" Type="http://schemas.openxmlformats.org/officeDocument/2006/relationships/hyperlink" Target="#Sales!A1"/><Relationship Id="rId14" Type="http://schemas.openxmlformats.org/officeDocument/2006/relationships/image" Target="../media/image24.svg"/><Relationship Id="rId22" Type="http://schemas.openxmlformats.org/officeDocument/2006/relationships/image" Target="../media/image14.sv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'New Entry'!A1"/><Relationship Id="rId13" Type="http://schemas.openxmlformats.org/officeDocument/2006/relationships/image" Target="../media/image5.png"/><Relationship Id="rId18" Type="http://schemas.openxmlformats.org/officeDocument/2006/relationships/image" Target="../media/image10.svg"/><Relationship Id="rId26" Type="http://schemas.openxmlformats.org/officeDocument/2006/relationships/image" Target="../media/image18.svg"/><Relationship Id="rId3" Type="http://schemas.openxmlformats.org/officeDocument/2006/relationships/hyperlink" Target="#Dashboard!A1"/><Relationship Id="rId21" Type="http://schemas.openxmlformats.org/officeDocument/2006/relationships/image" Target="../media/image13.png"/><Relationship Id="rId7" Type="http://schemas.openxmlformats.org/officeDocument/2006/relationships/hyperlink" Target="#Purchase!A1"/><Relationship Id="rId12" Type="http://schemas.openxmlformats.org/officeDocument/2006/relationships/image" Target="../media/image25.svg"/><Relationship Id="rId17" Type="http://schemas.openxmlformats.org/officeDocument/2006/relationships/image" Target="../media/image9.png"/><Relationship Id="rId25" Type="http://schemas.openxmlformats.org/officeDocument/2006/relationships/image" Target="../media/image17.png"/><Relationship Id="rId2" Type="http://schemas.openxmlformats.org/officeDocument/2006/relationships/image" Target="../media/image2.svg"/><Relationship Id="rId16" Type="http://schemas.openxmlformats.org/officeDocument/2006/relationships/image" Target="../media/image27.svg"/><Relationship Id="rId20" Type="http://schemas.openxmlformats.org/officeDocument/2006/relationships/image" Target="../media/image12.svg"/><Relationship Id="rId1" Type="http://schemas.openxmlformats.org/officeDocument/2006/relationships/image" Target="../media/image1.png"/><Relationship Id="rId6" Type="http://schemas.openxmlformats.org/officeDocument/2006/relationships/hyperlink" Target="#Vendors!A1"/><Relationship Id="rId11" Type="http://schemas.openxmlformats.org/officeDocument/2006/relationships/image" Target="../media/image21.png"/><Relationship Id="rId24" Type="http://schemas.openxmlformats.org/officeDocument/2006/relationships/image" Target="../media/image16.svg"/><Relationship Id="rId5" Type="http://schemas.openxmlformats.org/officeDocument/2006/relationships/hyperlink" Target="#Products!A1"/><Relationship Id="rId15" Type="http://schemas.openxmlformats.org/officeDocument/2006/relationships/image" Target="../media/image26.png"/><Relationship Id="rId23" Type="http://schemas.openxmlformats.org/officeDocument/2006/relationships/image" Target="../media/image15.png"/><Relationship Id="rId10" Type="http://schemas.openxmlformats.org/officeDocument/2006/relationships/hyperlink" Target="#Inventory!A1"/><Relationship Id="rId19" Type="http://schemas.openxmlformats.org/officeDocument/2006/relationships/image" Target="../media/image11.png"/><Relationship Id="rId4" Type="http://schemas.openxmlformats.org/officeDocument/2006/relationships/hyperlink" Target="#Customers!A1"/><Relationship Id="rId9" Type="http://schemas.openxmlformats.org/officeDocument/2006/relationships/hyperlink" Target="#Sales!A1"/><Relationship Id="rId14" Type="http://schemas.openxmlformats.org/officeDocument/2006/relationships/image" Target="../media/image6.svg"/><Relationship Id="rId22" Type="http://schemas.openxmlformats.org/officeDocument/2006/relationships/image" Target="../media/image14.sv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hyperlink" Target="#'New Entry'!A1"/><Relationship Id="rId13" Type="http://schemas.openxmlformats.org/officeDocument/2006/relationships/image" Target="../media/image5.png"/><Relationship Id="rId18" Type="http://schemas.openxmlformats.org/officeDocument/2006/relationships/image" Target="../media/image29.svg"/><Relationship Id="rId26" Type="http://schemas.openxmlformats.org/officeDocument/2006/relationships/image" Target="../media/image18.svg"/><Relationship Id="rId3" Type="http://schemas.openxmlformats.org/officeDocument/2006/relationships/hyperlink" Target="#Dashboard!A1"/><Relationship Id="rId21" Type="http://schemas.openxmlformats.org/officeDocument/2006/relationships/image" Target="../media/image13.png"/><Relationship Id="rId7" Type="http://schemas.openxmlformats.org/officeDocument/2006/relationships/hyperlink" Target="#Purchase!A1"/><Relationship Id="rId12" Type="http://schemas.openxmlformats.org/officeDocument/2006/relationships/image" Target="../media/image25.svg"/><Relationship Id="rId17" Type="http://schemas.openxmlformats.org/officeDocument/2006/relationships/image" Target="../media/image28.png"/><Relationship Id="rId25" Type="http://schemas.openxmlformats.org/officeDocument/2006/relationships/image" Target="../media/image17.png"/><Relationship Id="rId2" Type="http://schemas.openxmlformats.org/officeDocument/2006/relationships/image" Target="../media/image2.svg"/><Relationship Id="rId16" Type="http://schemas.openxmlformats.org/officeDocument/2006/relationships/image" Target="../media/image8.svg"/><Relationship Id="rId20" Type="http://schemas.openxmlformats.org/officeDocument/2006/relationships/image" Target="../media/image12.svg"/><Relationship Id="rId1" Type="http://schemas.openxmlformats.org/officeDocument/2006/relationships/image" Target="../media/image1.png"/><Relationship Id="rId6" Type="http://schemas.openxmlformats.org/officeDocument/2006/relationships/hyperlink" Target="#Vendors!A1"/><Relationship Id="rId11" Type="http://schemas.openxmlformats.org/officeDocument/2006/relationships/image" Target="../media/image21.png"/><Relationship Id="rId24" Type="http://schemas.openxmlformats.org/officeDocument/2006/relationships/image" Target="../media/image16.svg"/><Relationship Id="rId5" Type="http://schemas.openxmlformats.org/officeDocument/2006/relationships/hyperlink" Target="#Products!A1"/><Relationship Id="rId15" Type="http://schemas.openxmlformats.org/officeDocument/2006/relationships/image" Target="../media/image7.png"/><Relationship Id="rId23" Type="http://schemas.openxmlformats.org/officeDocument/2006/relationships/image" Target="../media/image15.png"/><Relationship Id="rId10" Type="http://schemas.openxmlformats.org/officeDocument/2006/relationships/hyperlink" Target="#Inventory!A1"/><Relationship Id="rId19" Type="http://schemas.openxmlformats.org/officeDocument/2006/relationships/image" Target="../media/image11.png"/><Relationship Id="rId4" Type="http://schemas.openxmlformats.org/officeDocument/2006/relationships/hyperlink" Target="#Customers!A1"/><Relationship Id="rId9" Type="http://schemas.openxmlformats.org/officeDocument/2006/relationships/hyperlink" Target="#Sales!A1"/><Relationship Id="rId14" Type="http://schemas.openxmlformats.org/officeDocument/2006/relationships/image" Target="../media/image6.svg"/><Relationship Id="rId22" Type="http://schemas.openxmlformats.org/officeDocument/2006/relationships/image" Target="../media/image14.sv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hyperlink" Target="#'New Entry'!A1"/><Relationship Id="rId13" Type="http://schemas.openxmlformats.org/officeDocument/2006/relationships/image" Target="../media/image5.png"/><Relationship Id="rId18" Type="http://schemas.openxmlformats.org/officeDocument/2006/relationships/image" Target="../media/image10.svg"/><Relationship Id="rId26" Type="http://schemas.openxmlformats.org/officeDocument/2006/relationships/image" Target="../media/image18.svg"/><Relationship Id="rId3" Type="http://schemas.openxmlformats.org/officeDocument/2006/relationships/hyperlink" Target="#Dashboard!A1"/><Relationship Id="rId21" Type="http://schemas.openxmlformats.org/officeDocument/2006/relationships/image" Target="../media/image30.png"/><Relationship Id="rId7" Type="http://schemas.openxmlformats.org/officeDocument/2006/relationships/hyperlink" Target="#Purchase!A1"/><Relationship Id="rId12" Type="http://schemas.openxmlformats.org/officeDocument/2006/relationships/image" Target="../media/image25.svg"/><Relationship Id="rId17" Type="http://schemas.openxmlformats.org/officeDocument/2006/relationships/image" Target="../media/image9.png"/><Relationship Id="rId25" Type="http://schemas.openxmlformats.org/officeDocument/2006/relationships/image" Target="../media/image17.png"/><Relationship Id="rId2" Type="http://schemas.openxmlformats.org/officeDocument/2006/relationships/image" Target="../media/image2.svg"/><Relationship Id="rId16" Type="http://schemas.openxmlformats.org/officeDocument/2006/relationships/image" Target="../media/image8.svg"/><Relationship Id="rId20" Type="http://schemas.openxmlformats.org/officeDocument/2006/relationships/image" Target="../media/image12.svg"/><Relationship Id="rId1" Type="http://schemas.openxmlformats.org/officeDocument/2006/relationships/image" Target="../media/image1.png"/><Relationship Id="rId6" Type="http://schemas.openxmlformats.org/officeDocument/2006/relationships/hyperlink" Target="#Vendors!A1"/><Relationship Id="rId11" Type="http://schemas.openxmlformats.org/officeDocument/2006/relationships/image" Target="../media/image21.png"/><Relationship Id="rId24" Type="http://schemas.openxmlformats.org/officeDocument/2006/relationships/image" Target="../media/image16.svg"/><Relationship Id="rId5" Type="http://schemas.openxmlformats.org/officeDocument/2006/relationships/hyperlink" Target="#Products!A1"/><Relationship Id="rId15" Type="http://schemas.openxmlformats.org/officeDocument/2006/relationships/image" Target="../media/image7.png"/><Relationship Id="rId23" Type="http://schemas.openxmlformats.org/officeDocument/2006/relationships/image" Target="../media/image15.png"/><Relationship Id="rId10" Type="http://schemas.openxmlformats.org/officeDocument/2006/relationships/hyperlink" Target="#Inventory!A1"/><Relationship Id="rId19" Type="http://schemas.openxmlformats.org/officeDocument/2006/relationships/image" Target="../media/image11.png"/><Relationship Id="rId4" Type="http://schemas.openxmlformats.org/officeDocument/2006/relationships/hyperlink" Target="#Customers!A1"/><Relationship Id="rId9" Type="http://schemas.openxmlformats.org/officeDocument/2006/relationships/hyperlink" Target="#Sales!A1"/><Relationship Id="rId14" Type="http://schemas.openxmlformats.org/officeDocument/2006/relationships/image" Target="../media/image6.svg"/><Relationship Id="rId22" Type="http://schemas.openxmlformats.org/officeDocument/2006/relationships/image" Target="../media/image31.sv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hyperlink" Target="#'New Entry'!A1"/><Relationship Id="rId13" Type="http://schemas.openxmlformats.org/officeDocument/2006/relationships/image" Target="../media/image5.png"/><Relationship Id="rId18" Type="http://schemas.openxmlformats.org/officeDocument/2006/relationships/image" Target="../media/image10.svg"/><Relationship Id="rId26" Type="http://schemas.openxmlformats.org/officeDocument/2006/relationships/image" Target="../media/image18.svg"/><Relationship Id="rId3" Type="http://schemas.openxmlformats.org/officeDocument/2006/relationships/hyperlink" Target="#Dashboard!A1"/><Relationship Id="rId21" Type="http://schemas.openxmlformats.org/officeDocument/2006/relationships/image" Target="../media/image13.png"/><Relationship Id="rId7" Type="http://schemas.openxmlformats.org/officeDocument/2006/relationships/hyperlink" Target="#Purchase!A1"/><Relationship Id="rId12" Type="http://schemas.openxmlformats.org/officeDocument/2006/relationships/image" Target="../media/image25.svg"/><Relationship Id="rId17" Type="http://schemas.openxmlformats.org/officeDocument/2006/relationships/image" Target="../media/image9.png"/><Relationship Id="rId25" Type="http://schemas.openxmlformats.org/officeDocument/2006/relationships/image" Target="../media/image17.png"/><Relationship Id="rId2" Type="http://schemas.openxmlformats.org/officeDocument/2006/relationships/image" Target="../media/image2.svg"/><Relationship Id="rId16" Type="http://schemas.openxmlformats.org/officeDocument/2006/relationships/image" Target="../media/image8.svg"/><Relationship Id="rId20" Type="http://schemas.openxmlformats.org/officeDocument/2006/relationships/image" Target="../media/image33.svg"/><Relationship Id="rId1" Type="http://schemas.openxmlformats.org/officeDocument/2006/relationships/image" Target="../media/image1.png"/><Relationship Id="rId6" Type="http://schemas.openxmlformats.org/officeDocument/2006/relationships/hyperlink" Target="#Vendors!A1"/><Relationship Id="rId11" Type="http://schemas.openxmlformats.org/officeDocument/2006/relationships/image" Target="../media/image21.png"/><Relationship Id="rId24" Type="http://schemas.openxmlformats.org/officeDocument/2006/relationships/image" Target="../media/image16.svg"/><Relationship Id="rId5" Type="http://schemas.openxmlformats.org/officeDocument/2006/relationships/hyperlink" Target="#Products!A1"/><Relationship Id="rId15" Type="http://schemas.openxmlformats.org/officeDocument/2006/relationships/image" Target="../media/image7.png"/><Relationship Id="rId23" Type="http://schemas.openxmlformats.org/officeDocument/2006/relationships/image" Target="../media/image15.png"/><Relationship Id="rId10" Type="http://schemas.openxmlformats.org/officeDocument/2006/relationships/hyperlink" Target="#Inventory!A1"/><Relationship Id="rId19" Type="http://schemas.openxmlformats.org/officeDocument/2006/relationships/image" Target="../media/image32.png"/><Relationship Id="rId4" Type="http://schemas.openxmlformats.org/officeDocument/2006/relationships/hyperlink" Target="#Customers!A1"/><Relationship Id="rId9" Type="http://schemas.openxmlformats.org/officeDocument/2006/relationships/hyperlink" Target="#Sales!A1"/><Relationship Id="rId14" Type="http://schemas.openxmlformats.org/officeDocument/2006/relationships/image" Target="../media/image6.svg"/><Relationship Id="rId22" Type="http://schemas.openxmlformats.org/officeDocument/2006/relationships/image" Target="../media/image14.sv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hyperlink" Target="#'New Entry'!A1"/><Relationship Id="rId13" Type="http://schemas.openxmlformats.org/officeDocument/2006/relationships/image" Target="../media/image5.png"/><Relationship Id="rId18" Type="http://schemas.openxmlformats.org/officeDocument/2006/relationships/image" Target="../media/image10.svg"/><Relationship Id="rId26" Type="http://schemas.openxmlformats.org/officeDocument/2006/relationships/image" Target="../media/image18.svg"/><Relationship Id="rId3" Type="http://schemas.openxmlformats.org/officeDocument/2006/relationships/hyperlink" Target="#Dashboard!A1"/><Relationship Id="rId21" Type="http://schemas.openxmlformats.org/officeDocument/2006/relationships/image" Target="../media/image13.png"/><Relationship Id="rId7" Type="http://schemas.openxmlformats.org/officeDocument/2006/relationships/hyperlink" Target="#Purchase!A1"/><Relationship Id="rId12" Type="http://schemas.openxmlformats.org/officeDocument/2006/relationships/image" Target="../media/image25.svg"/><Relationship Id="rId17" Type="http://schemas.openxmlformats.org/officeDocument/2006/relationships/image" Target="../media/image9.png"/><Relationship Id="rId25" Type="http://schemas.openxmlformats.org/officeDocument/2006/relationships/image" Target="../media/image17.png"/><Relationship Id="rId2" Type="http://schemas.openxmlformats.org/officeDocument/2006/relationships/image" Target="../media/image2.svg"/><Relationship Id="rId16" Type="http://schemas.openxmlformats.org/officeDocument/2006/relationships/image" Target="../media/image8.svg"/><Relationship Id="rId20" Type="http://schemas.openxmlformats.org/officeDocument/2006/relationships/image" Target="../media/image12.svg"/><Relationship Id="rId1" Type="http://schemas.openxmlformats.org/officeDocument/2006/relationships/image" Target="../media/image1.png"/><Relationship Id="rId6" Type="http://schemas.openxmlformats.org/officeDocument/2006/relationships/hyperlink" Target="#Vendors!A1"/><Relationship Id="rId11" Type="http://schemas.openxmlformats.org/officeDocument/2006/relationships/image" Target="../media/image21.png"/><Relationship Id="rId24" Type="http://schemas.openxmlformats.org/officeDocument/2006/relationships/image" Target="../media/image35.svg"/><Relationship Id="rId5" Type="http://schemas.openxmlformats.org/officeDocument/2006/relationships/hyperlink" Target="#Products!A1"/><Relationship Id="rId15" Type="http://schemas.openxmlformats.org/officeDocument/2006/relationships/image" Target="../media/image7.png"/><Relationship Id="rId23" Type="http://schemas.openxmlformats.org/officeDocument/2006/relationships/image" Target="../media/image34.png"/><Relationship Id="rId10" Type="http://schemas.openxmlformats.org/officeDocument/2006/relationships/hyperlink" Target="#Inventory!A1"/><Relationship Id="rId19" Type="http://schemas.openxmlformats.org/officeDocument/2006/relationships/image" Target="../media/image11.png"/><Relationship Id="rId4" Type="http://schemas.openxmlformats.org/officeDocument/2006/relationships/hyperlink" Target="#Customers!A1"/><Relationship Id="rId9" Type="http://schemas.openxmlformats.org/officeDocument/2006/relationships/hyperlink" Target="#Sales!A1"/><Relationship Id="rId14" Type="http://schemas.openxmlformats.org/officeDocument/2006/relationships/image" Target="../media/image6.svg"/><Relationship Id="rId22" Type="http://schemas.openxmlformats.org/officeDocument/2006/relationships/image" Target="../media/image14.sv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hyperlink" Target="#'New Entry'!A1"/><Relationship Id="rId13" Type="http://schemas.openxmlformats.org/officeDocument/2006/relationships/image" Target="../media/image5.png"/><Relationship Id="rId18" Type="http://schemas.openxmlformats.org/officeDocument/2006/relationships/image" Target="../media/image10.svg"/><Relationship Id="rId26" Type="http://schemas.openxmlformats.org/officeDocument/2006/relationships/image" Target="../media/image37.svg"/><Relationship Id="rId3" Type="http://schemas.openxmlformats.org/officeDocument/2006/relationships/hyperlink" Target="#Dashboard!A1"/><Relationship Id="rId21" Type="http://schemas.openxmlformats.org/officeDocument/2006/relationships/image" Target="../media/image13.png"/><Relationship Id="rId7" Type="http://schemas.openxmlformats.org/officeDocument/2006/relationships/hyperlink" Target="#Purchase!A1"/><Relationship Id="rId12" Type="http://schemas.openxmlformats.org/officeDocument/2006/relationships/image" Target="../media/image25.svg"/><Relationship Id="rId17" Type="http://schemas.openxmlformats.org/officeDocument/2006/relationships/image" Target="../media/image9.png"/><Relationship Id="rId25" Type="http://schemas.openxmlformats.org/officeDocument/2006/relationships/image" Target="../media/image36.png"/><Relationship Id="rId2" Type="http://schemas.openxmlformats.org/officeDocument/2006/relationships/image" Target="../media/image2.svg"/><Relationship Id="rId16" Type="http://schemas.openxmlformats.org/officeDocument/2006/relationships/image" Target="../media/image8.svg"/><Relationship Id="rId20" Type="http://schemas.openxmlformats.org/officeDocument/2006/relationships/image" Target="../media/image12.svg"/><Relationship Id="rId1" Type="http://schemas.openxmlformats.org/officeDocument/2006/relationships/image" Target="../media/image1.png"/><Relationship Id="rId6" Type="http://schemas.openxmlformats.org/officeDocument/2006/relationships/hyperlink" Target="#Vendors!A1"/><Relationship Id="rId11" Type="http://schemas.openxmlformats.org/officeDocument/2006/relationships/image" Target="../media/image21.png"/><Relationship Id="rId24" Type="http://schemas.openxmlformats.org/officeDocument/2006/relationships/image" Target="../media/image16.svg"/><Relationship Id="rId5" Type="http://schemas.openxmlformats.org/officeDocument/2006/relationships/hyperlink" Target="#Products!A1"/><Relationship Id="rId15" Type="http://schemas.openxmlformats.org/officeDocument/2006/relationships/image" Target="../media/image7.png"/><Relationship Id="rId23" Type="http://schemas.openxmlformats.org/officeDocument/2006/relationships/image" Target="../media/image15.png"/><Relationship Id="rId10" Type="http://schemas.openxmlformats.org/officeDocument/2006/relationships/hyperlink" Target="#Inventory!A1"/><Relationship Id="rId19" Type="http://schemas.openxmlformats.org/officeDocument/2006/relationships/image" Target="../media/image11.png"/><Relationship Id="rId4" Type="http://schemas.openxmlformats.org/officeDocument/2006/relationships/hyperlink" Target="#Customers!A1"/><Relationship Id="rId9" Type="http://schemas.openxmlformats.org/officeDocument/2006/relationships/hyperlink" Target="#Sales!A1"/><Relationship Id="rId14" Type="http://schemas.openxmlformats.org/officeDocument/2006/relationships/image" Target="../media/image6.svg"/><Relationship Id="rId22" Type="http://schemas.openxmlformats.org/officeDocument/2006/relationships/image" Target="../media/image14.svg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hyperlink" Target="#'New Entry'!A1"/><Relationship Id="rId13" Type="http://schemas.openxmlformats.org/officeDocument/2006/relationships/image" Target="../media/image5.png"/><Relationship Id="rId18" Type="http://schemas.openxmlformats.org/officeDocument/2006/relationships/image" Target="../media/image10.svg"/><Relationship Id="rId26" Type="http://schemas.openxmlformats.org/officeDocument/2006/relationships/image" Target="../media/image18.svg"/><Relationship Id="rId3" Type="http://schemas.openxmlformats.org/officeDocument/2006/relationships/hyperlink" Target="#Dashboard!A1"/><Relationship Id="rId21" Type="http://schemas.openxmlformats.org/officeDocument/2006/relationships/image" Target="../media/image13.png"/><Relationship Id="rId7" Type="http://schemas.openxmlformats.org/officeDocument/2006/relationships/hyperlink" Target="#Purchase!A1"/><Relationship Id="rId12" Type="http://schemas.openxmlformats.org/officeDocument/2006/relationships/image" Target="../media/image22.svg"/><Relationship Id="rId17" Type="http://schemas.openxmlformats.org/officeDocument/2006/relationships/image" Target="../media/image9.png"/><Relationship Id="rId25" Type="http://schemas.openxmlformats.org/officeDocument/2006/relationships/image" Target="../media/image17.png"/><Relationship Id="rId2" Type="http://schemas.openxmlformats.org/officeDocument/2006/relationships/image" Target="../media/image2.svg"/><Relationship Id="rId16" Type="http://schemas.openxmlformats.org/officeDocument/2006/relationships/image" Target="../media/image8.svg"/><Relationship Id="rId20" Type="http://schemas.openxmlformats.org/officeDocument/2006/relationships/image" Target="../media/image12.svg"/><Relationship Id="rId1" Type="http://schemas.openxmlformats.org/officeDocument/2006/relationships/image" Target="../media/image1.png"/><Relationship Id="rId6" Type="http://schemas.openxmlformats.org/officeDocument/2006/relationships/hyperlink" Target="#Vendors!A1"/><Relationship Id="rId11" Type="http://schemas.openxmlformats.org/officeDocument/2006/relationships/image" Target="../media/image21.png"/><Relationship Id="rId24" Type="http://schemas.openxmlformats.org/officeDocument/2006/relationships/image" Target="../media/image16.svg"/><Relationship Id="rId5" Type="http://schemas.openxmlformats.org/officeDocument/2006/relationships/hyperlink" Target="#Products!A1"/><Relationship Id="rId15" Type="http://schemas.openxmlformats.org/officeDocument/2006/relationships/image" Target="../media/image7.png"/><Relationship Id="rId23" Type="http://schemas.openxmlformats.org/officeDocument/2006/relationships/image" Target="../media/image15.png"/><Relationship Id="rId10" Type="http://schemas.openxmlformats.org/officeDocument/2006/relationships/hyperlink" Target="#Inventory!A1"/><Relationship Id="rId19" Type="http://schemas.openxmlformats.org/officeDocument/2006/relationships/image" Target="../media/image11.png"/><Relationship Id="rId4" Type="http://schemas.openxmlformats.org/officeDocument/2006/relationships/hyperlink" Target="#Customers!A1"/><Relationship Id="rId9" Type="http://schemas.openxmlformats.org/officeDocument/2006/relationships/hyperlink" Target="#Sales!A1"/><Relationship Id="rId14" Type="http://schemas.openxmlformats.org/officeDocument/2006/relationships/image" Target="../media/image6.svg"/><Relationship Id="rId22" Type="http://schemas.openxmlformats.org/officeDocument/2006/relationships/image" Target="../media/image1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670560</xdr:colOff>
      <xdr:row>1</xdr:row>
      <xdr:rowOff>36831</xdr:rowOff>
    </xdr:from>
    <xdr:to>
      <xdr:col>1</xdr:col>
      <xdr:colOff>1148080</xdr:colOff>
      <xdr:row>3</xdr:row>
      <xdr:rowOff>116841</xdr:rowOff>
    </xdr:to>
    <xdr:pic>
      <xdr:nvPicPr>
        <xdr:cNvPr id="2" name="Graphic 1" descr="Checklist with solid fill">
          <a:extLst>
            <a:ext uri="{FF2B5EF4-FFF2-40B4-BE49-F238E27FC236}">
              <a16:creationId xmlns:a16="http://schemas.microsoft.com/office/drawing/2014/main" id="{496DB87C-C08C-4F5A-9B5C-80AC20A234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69010" y="220981"/>
          <a:ext cx="477520" cy="448310"/>
        </a:xfrm>
        <a:prstGeom prst="rect">
          <a:avLst/>
        </a:prstGeom>
      </xdr:spPr>
    </xdr:pic>
    <xdr:clientData/>
  </xdr:twoCellAnchor>
  <xdr:twoCellAnchor>
    <xdr:from>
      <xdr:col>1</xdr:col>
      <xdr:colOff>25400</xdr:colOff>
      <xdr:row>3</xdr:row>
      <xdr:rowOff>29210</xdr:rowOff>
    </xdr:from>
    <xdr:to>
      <xdr:col>1</xdr:col>
      <xdr:colOff>1798320</xdr:colOff>
      <xdr:row>6</xdr:row>
      <xdr:rowOff>35560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EDB75F6-1BC4-4C35-AF78-5A04FE088D44}"/>
            </a:ext>
          </a:extLst>
        </xdr:cNvPr>
        <xdr:cNvSpPr/>
      </xdr:nvSpPr>
      <xdr:spPr>
        <a:xfrm>
          <a:off x="323850" y="581660"/>
          <a:ext cx="1772920" cy="5588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400" b="1">
              <a:solidFill>
                <a:schemeClr val="tx1"/>
              </a:solidFill>
            </a:rPr>
            <a:t>Inventory</a:t>
          </a:r>
          <a:r>
            <a:rPr lang="en-IN" sz="1400" b="1" baseline="0">
              <a:solidFill>
                <a:schemeClr val="tx1"/>
              </a:solidFill>
            </a:rPr>
            <a:t> Management System</a:t>
          </a:r>
          <a:endParaRPr lang="en-IN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391160</xdr:colOff>
      <xdr:row>6</xdr:row>
      <xdr:rowOff>156210</xdr:rowOff>
    </xdr:from>
    <xdr:to>
      <xdr:col>1</xdr:col>
      <xdr:colOff>1854200</xdr:colOff>
      <xdr:row>8</xdr:row>
      <xdr:rowOff>91440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D24881A-2FCB-4B7B-B44E-DB4432F96E33}"/>
            </a:ext>
          </a:extLst>
        </xdr:cNvPr>
        <xdr:cNvSpPr/>
      </xdr:nvSpPr>
      <xdr:spPr>
        <a:xfrm>
          <a:off x="689610" y="1261110"/>
          <a:ext cx="1463040" cy="30353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baseline="0">
              <a:solidFill>
                <a:sysClr val="windowText" lastClr="000000"/>
              </a:solidFill>
            </a:rPr>
            <a:t>Dashboard</a:t>
          </a:r>
          <a:endParaRPr lang="en-IN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391160</xdr:colOff>
      <xdr:row>8</xdr:row>
      <xdr:rowOff>78559</xdr:rowOff>
    </xdr:from>
    <xdr:to>
      <xdr:col>1</xdr:col>
      <xdr:colOff>1854200</xdr:colOff>
      <xdr:row>10</xdr:row>
      <xdr:rowOff>13789</xdr:rowOff>
    </xdr:to>
    <xdr:sp macro="" textlink="">
      <xdr:nvSpPr>
        <xdr:cNvPr id="5" name="Rectangle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691563C-2DDE-4525-923E-6248EF300D85}"/>
            </a:ext>
          </a:extLst>
        </xdr:cNvPr>
        <xdr:cNvSpPr/>
      </xdr:nvSpPr>
      <xdr:spPr>
        <a:xfrm>
          <a:off x="689610" y="1551759"/>
          <a:ext cx="1463040" cy="30353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0" baseline="0">
              <a:solidFill>
                <a:schemeClr val="tx1">
                  <a:lumMod val="50000"/>
                  <a:lumOff val="50000"/>
                </a:schemeClr>
              </a:solidFill>
            </a:rPr>
            <a:t>Customers</a:t>
          </a:r>
          <a:endParaRPr lang="en-IN" sz="1400" b="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391160</xdr:colOff>
      <xdr:row>10</xdr:row>
      <xdr:rowOff>908</xdr:rowOff>
    </xdr:from>
    <xdr:to>
      <xdr:col>1</xdr:col>
      <xdr:colOff>1854200</xdr:colOff>
      <xdr:row>11</xdr:row>
      <xdr:rowOff>119018</xdr:rowOff>
    </xdr:to>
    <xdr:sp macro="" textlink="">
      <xdr:nvSpPr>
        <xdr:cNvPr id="6" name="Rectangle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30672A7-9AA8-4EE6-B8EC-2ED91AC6B72A}"/>
            </a:ext>
          </a:extLst>
        </xdr:cNvPr>
        <xdr:cNvSpPr/>
      </xdr:nvSpPr>
      <xdr:spPr>
        <a:xfrm>
          <a:off x="689610" y="1842408"/>
          <a:ext cx="1463040" cy="3022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0" baseline="0">
              <a:solidFill>
                <a:schemeClr val="tx1">
                  <a:lumMod val="50000"/>
                  <a:lumOff val="50000"/>
                </a:schemeClr>
              </a:solidFill>
            </a:rPr>
            <a:t>Products</a:t>
          </a:r>
          <a:endParaRPr lang="en-IN" sz="1400" b="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391160</xdr:colOff>
      <xdr:row>11</xdr:row>
      <xdr:rowOff>106137</xdr:rowOff>
    </xdr:from>
    <xdr:to>
      <xdr:col>1</xdr:col>
      <xdr:colOff>1854200</xdr:colOff>
      <xdr:row>13</xdr:row>
      <xdr:rowOff>41367</xdr:rowOff>
    </xdr:to>
    <xdr:sp macro="" textlink="">
      <xdr:nvSpPr>
        <xdr:cNvPr id="7" name="Rectangle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53B891F3-411A-44C3-8235-535792C81EDA}"/>
            </a:ext>
          </a:extLst>
        </xdr:cNvPr>
        <xdr:cNvSpPr/>
      </xdr:nvSpPr>
      <xdr:spPr>
        <a:xfrm>
          <a:off x="689610" y="2131787"/>
          <a:ext cx="1463040" cy="30353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0" baseline="0">
              <a:solidFill>
                <a:schemeClr val="tx1">
                  <a:lumMod val="50000"/>
                  <a:lumOff val="50000"/>
                </a:schemeClr>
              </a:solidFill>
            </a:rPr>
            <a:t>Vendors</a:t>
          </a:r>
          <a:endParaRPr lang="en-IN" sz="1400" b="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391160</xdr:colOff>
      <xdr:row>14</xdr:row>
      <xdr:rowOff>133715</xdr:rowOff>
    </xdr:from>
    <xdr:to>
      <xdr:col>1</xdr:col>
      <xdr:colOff>1854200</xdr:colOff>
      <xdr:row>16</xdr:row>
      <xdr:rowOff>68945</xdr:rowOff>
    </xdr:to>
    <xdr:sp macro="" textlink="">
      <xdr:nvSpPr>
        <xdr:cNvPr id="8" name="Rectangle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936E06F-07DA-4925-8BF0-E111C3AE523C}"/>
            </a:ext>
          </a:extLst>
        </xdr:cNvPr>
        <xdr:cNvSpPr/>
      </xdr:nvSpPr>
      <xdr:spPr>
        <a:xfrm>
          <a:off x="689610" y="2711815"/>
          <a:ext cx="1463040" cy="30353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0" baseline="0">
              <a:solidFill>
                <a:schemeClr val="tx1">
                  <a:lumMod val="50000"/>
                  <a:lumOff val="50000"/>
                </a:schemeClr>
              </a:solidFill>
            </a:rPr>
            <a:t>Purchase</a:t>
          </a:r>
          <a:endParaRPr lang="en-IN" sz="1400" b="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391160</xdr:colOff>
      <xdr:row>13</xdr:row>
      <xdr:rowOff>28486</xdr:rowOff>
    </xdr:from>
    <xdr:to>
      <xdr:col>1</xdr:col>
      <xdr:colOff>1854200</xdr:colOff>
      <xdr:row>14</xdr:row>
      <xdr:rowOff>146596</xdr:rowOff>
    </xdr:to>
    <xdr:sp macro="" textlink="">
      <xdr:nvSpPr>
        <xdr:cNvPr id="9" name="Rectangle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26A873C4-BBF5-4249-B548-A199EC5C7A46}"/>
            </a:ext>
          </a:extLst>
        </xdr:cNvPr>
        <xdr:cNvSpPr/>
      </xdr:nvSpPr>
      <xdr:spPr>
        <a:xfrm>
          <a:off x="689610" y="2422436"/>
          <a:ext cx="1463040" cy="3022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0" baseline="0">
              <a:solidFill>
                <a:schemeClr val="tx1">
                  <a:lumMod val="50000"/>
                  <a:lumOff val="50000"/>
                </a:schemeClr>
              </a:solidFill>
            </a:rPr>
            <a:t>New Entry</a:t>
          </a:r>
          <a:endParaRPr lang="en-IN" sz="1400" b="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391160</xdr:colOff>
      <xdr:row>16</xdr:row>
      <xdr:rowOff>56064</xdr:rowOff>
    </xdr:from>
    <xdr:to>
      <xdr:col>1</xdr:col>
      <xdr:colOff>1854200</xdr:colOff>
      <xdr:row>17</xdr:row>
      <xdr:rowOff>174174</xdr:rowOff>
    </xdr:to>
    <xdr:sp macro="" textlink="">
      <xdr:nvSpPr>
        <xdr:cNvPr id="10" name="Rectangle 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B181C5E-1BA3-4FCD-A534-8542303A3A23}"/>
            </a:ext>
          </a:extLst>
        </xdr:cNvPr>
        <xdr:cNvSpPr/>
      </xdr:nvSpPr>
      <xdr:spPr>
        <a:xfrm>
          <a:off x="689610" y="3002464"/>
          <a:ext cx="1463040" cy="3022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0" baseline="0">
              <a:solidFill>
                <a:schemeClr val="tx1">
                  <a:lumMod val="50000"/>
                  <a:lumOff val="50000"/>
                </a:schemeClr>
              </a:solidFill>
            </a:rPr>
            <a:t>Sales</a:t>
          </a:r>
          <a:endParaRPr lang="en-IN" sz="1400" b="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391160</xdr:colOff>
      <xdr:row>17</xdr:row>
      <xdr:rowOff>161290</xdr:rowOff>
    </xdr:from>
    <xdr:to>
      <xdr:col>1</xdr:col>
      <xdr:colOff>1854200</xdr:colOff>
      <xdr:row>19</xdr:row>
      <xdr:rowOff>96520</xdr:rowOff>
    </xdr:to>
    <xdr:sp macro="" textlink="">
      <xdr:nvSpPr>
        <xdr:cNvPr id="11" name="Rectangle 1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85B2D466-A7A7-45F9-9B52-B7CACB9930E0}"/>
            </a:ext>
          </a:extLst>
        </xdr:cNvPr>
        <xdr:cNvSpPr/>
      </xdr:nvSpPr>
      <xdr:spPr>
        <a:xfrm>
          <a:off x="689610" y="3291840"/>
          <a:ext cx="1463040" cy="30353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0">
              <a:solidFill>
                <a:schemeClr val="tx1">
                  <a:lumMod val="50000"/>
                  <a:lumOff val="50000"/>
                </a:schemeClr>
              </a:solidFill>
            </a:rPr>
            <a:t>Inventory</a:t>
          </a:r>
        </a:p>
      </xdr:txBody>
    </xdr:sp>
    <xdr:clientData/>
  </xdr:twoCellAnchor>
  <xdr:twoCellAnchor editAs="oneCell">
    <xdr:from>
      <xdr:col>1</xdr:col>
      <xdr:colOff>73171</xdr:colOff>
      <xdr:row>6</xdr:row>
      <xdr:rowOff>148297</xdr:rowOff>
    </xdr:from>
    <xdr:to>
      <xdr:col>1</xdr:col>
      <xdr:colOff>357651</xdr:colOff>
      <xdr:row>8</xdr:row>
      <xdr:rowOff>67017</xdr:rowOff>
    </xdr:to>
    <xdr:pic>
      <xdr:nvPicPr>
        <xdr:cNvPr id="12" name="Graphic 11" descr="Gauge with solid fill">
          <a:extLst>
            <a:ext uri="{FF2B5EF4-FFF2-40B4-BE49-F238E27FC236}">
              <a16:creationId xmlns:a16="http://schemas.microsoft.com/office/drawing/2014/main" id="{D8171BF8-74B4-4961-AE7E-C51D774B93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71621" y="1253197"/>
          <a:ext cx="284480" cy="287020"/>
        </a:xfrm>
        <a:prstGeom prst="rect">
          <a:avLst/>
        </a:prstGeom>
      </xdr:spPr>
    </xdr:pic>
    <xdr:clientData/>
  </xdr:twoCellAnchor>
  <xdr:twoCellAnchor editAs="oneCell">
    <xdr:from>
      <xdr:col>1</xdr:col>
      <xdr:colOff>93440</xdr:colOff>
      <xdr:row>8</xdr:row>
      <xdr:rowOff>122183</xdr:rowOff>
    </xdr:from>
    <xdr:to>
      <xdr:col>1</xdr:col>
      <xdr:colOff>345440</xdr:colOff>
      <xdr:row>9</xdr:row>
      <xdr:rowOff>211870</xdr:rowOff>
    </xdr:to>
    <xdr:pic>
      <xdr:nvPicPr>
        <xdr:cNvPr id="13" name="Graphic 12" descr="Target Audience with solid fill">
          <a:extLst>
            <a:ext uri="{FF2B5EF4-FFF2-40B4-BE49-F238E27FC236}">
              <a16:creationId xmlns:a16="http://schemas.microsoft.com/office/drawing/2014/main" id="{5B997A6E-3217-47E1-8DE1-F7EBB576BB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91890" y="1595383"/>
          <a:ext cx="252000" cy="254540"/>
        </a:xfrm>
        <a:prstGeom prst="rect">
          <a:avLst/>
        </a:prstGeom>
      </xdr:spPr>
    </xdr:pic>
    <xdr:clientData/>
  </xdr:twoCellAnchor>
  <xdr:twoCellAnchor editAs="oneCell">
    <xdr:from>
      <xdr:col>1</xdr:col>
      <xdr:colOff>93440</xdr:colOff>
      <xdr:row>10</xdr:row>
      <xdr:rowOff>39166</xdr:rowOff>
    </xdr:from>
    <xdr:to>
      <xdr:col>1</xdr:col>
      <xdr:colOff>345440</xdr:colOff>
      <xdr:row>11</xdr:row>
      <xdr:rowOff>77460</xdr:rowOff>
    </xdr:to>
    <xdr:pic>
      <xdr:nvPicPr>
        <xdr:cNvPr id="14" name="Graphic 13" descr="Shopping cart with solid fill">
          <a:extLst>
            <a:ext uri="{FF2B5EF4-FFF2-40B4-BE49-F238E27FC236}">
              <a16:creationId xmlns:a16="http://schemas.microsoft.com/office/drawing/2014/main" id="{97E7B18D-3A70-452B-8ED2-5E508524C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91890" y="1880666"/>
          <a:ext cx="252000" cy="253270"/>
        </a:xfrm>
        <a:prstGeom prst="rect">
          <a:avLst/>
        </a:prstGeom>
      </xdr:spPr>
    </xdr:pic>
    <xdr:clientData/>
  </xdr:twoCellAnchor>
  <xdr:twoCellAnchor editAs="oneCell">
    <xdr:from>
      <xdr:col>1</xdr:col>
      <xdr:colOff>93440</xdr:colOff>
      <xdr:row>11</xdr:row>
      <xdr:rowOff>139029</xdr:rowOff>
    </xdr:from>
    <xdr:to>
      <xdr:col>1</xdr:col>
      <xdr:colOff>345440</xdr:colOff>
      <xdr:row>13</xdr:row>
      <xdr:rowOff>25270</xdr:rowOff>
    </xdr:to>
    <xdr:pic>
      <xdr:nvPicPr>
        <xdr:cNvPr id="15" name="Graphic 14" descr="Male profile with solid fill">
          <a:extLst>
            <a:ext uri="{FF2B5EF4-FFF2-40B4-BE49-F238E27FC236}">
              <a16:creationId xmlns:a16="http://schemas.microsoft.com/office/drawing/2014/main" id="{600F0243-86BB-46DC-A652-6581D712E7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91890" y="2164679"/>
          <a:ext cx="252000" cy="254540"/>
        </a:xfrm>
        <a:prstGeom prst="rect">
          <a:avLst/>
        </a:prstGeom>
      </xdr:spPr>
    </xdr:pic>
    <xdr:clientData/>
  </xdr:twoCellAnchor>
  <xdr:twoCellAnchor editAs="oneCell">
    <xdr:from>
      <xdr:col>1</xdr:col>
      <xdr:colOff>93440</xdr:colOff>
      <xdr:row>14</xdr:row>
      <xdr:rowOff>155875</xdr:rowOff>
    </xdr:from>
    <xdr:to>
      <xdr:col>1</xdr:col>
      <xdr:colOff>345440</xdr:colOff>
      <xdr:row>16</xdr:row>
      <xdr:rowOff>42115</xdr:rowOff>
    </xdr:to>
    <xdr:pic>
      <xdr:nvPicPr>
        <xdr:cNvPr id="16" name="Graphic 15" descr="Document with solid fill">
          <a:extLst>
            <a:ext uri="{FF2B5EF4-FFF2-40B4-BE49-F238E27FC236}">
              <a16:creationId xmlns:a16="http://schemas.microsoft.com/office/drawing/2014/main" id="{71AB2E6A-F950-4D6F-8758-C6656D5047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91890" y="2733975"/>
          <a:ext cx="252000" cy="254540"/>
        </a:xfrm>
        <a:prstGeom prst="rect">
          <a:avLst/>
        </a:prstGeom>
      </xdr:spPr>
    </xdr:pic>
    <xdr:clientData/>
  </xdr:twoCellAnchor>
  <xdr:twoCellAnchor editAs="oneCell">
    <xdr:from>
      <xdr:col>1</xdr:col>
      <xdr:colOff>93440</xdr:colOff>
      <xdr:row>13</xdr:row>
      <xdr:rowOff>56012</xdr:rowOff>
    </xdr:from>
    <xdr:to>
      <xdr:col>1</xdr:col>
      <xdr:colOff>345440</xdr:colOff>
      <xdr:row>14</xdr:row>
      <xdr:rowOff>125131</xdr:rowOff>
    </xdr:to>
    <xdr:pic>
      <xdr:nvPicPr>
        <xdr:cNvPr id="17" name="Graphic 16" descr="Books with solid fill">
          <a:extLst>
            <a:ext uri="{FF2B5EF4-FFF2-40B4-BE49-F238E27FC236}">
              <a16:creationId xmlns:a16="http://schemas.microsoft.com/office/drawing/2014/main" id="{0EC56A2D-498A-4E8F-897A-E2C9FB7360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91890" y="2449962"/>
          <a:ext cx="252000" cy="253270"/>
        </a:xfrm>
        <a:prstGeom prst="rect">
          <a:avLst/>
        </a:prstGeom>
      </xdr:spPr>
    </xdr:pic>
    <xdr:clientData/>
  </xdr:twoCellAnchor>
  <xdr:twoCellAnchor editAs="oneCell">
    <xdr:from>
      <xdr:col>1</xdr:col>
      <xdr:colOff>93440</xdr:colOff>
      <xdr:row>16</xdr:row>
      <xdr:rowOff>72858</xdr:rowOff>
    </xdr:from>
    <xdr:to>
      <xdr:col>1</xdr:col>
      <xdr:colOff>345440</xdr:colOff>
      <xdr:row>17</xdr:row>
      <xdr:rowOff>141979</xdr:rowOff>
    </xdr:to>
    <xdr:pic>
      <xdr:nvPicPr>
        <xdr:cNvPr id="18" name="Graphic 17" descr="Open book with solid fill">
          <a:extLst>
            <a:ext uri="{FF2B5EF4-FFF2-40B4-BE49-F238E27FC236}">
              <a16:creationId xmlns:a16="http://schemas.microsoft.com/office/drawing/2014/main" id="{DE420815-2ED7-486A-A98D-1B3C1BA602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91890" y="3019258"/>
          <a:ext cx="252000" cy="253270"/>
        </a:xfrm>
        <a:prstGeom prst="rect">
          <a:avLst/>
        </a:prstGeom>
      </xdr:spPr>
    </xdr:pic>
    <xdr:clientData/>
  </xdr:twoCellAnchor>
  <xdr:twoCellAnchor editAs="oneCell">
    <xdr:from>
      <xdr:col>1</xdr:col>
      <xdr:colOff>93440</xdr:colOff>
      <xdr:row>17</xdr:row>
      <xdr:rowOff>172720</xdr:rowOff>
    </xdr:from>
    <xdr:to>
      <xdr:col>1</xdr:col>
      <xdr:colOff>345440</xdr:colOff>
      <xdr:row>19</xdr:row>
      <xdr:rowOff>58960</xdr:rowOff>
    </xdr:to>
    <xdr:pic>
      <xdr:nvPicPr>
        <xdr:cNvPr id="19" name="Graphic 18" descr="List with solid fill">
          <a:extLst>
            <a:ext uri="{FF2B5EF4-FFF2-40B4-BE49-F238E27FC236}">
              <a16:creationId xmlns:a16="http://schemas.microsoft.com/office/drawing/2014/main" id="{012C7612-0667-48DD-B7B2-4AB41A0482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91890" y="3303270"/>
          <a:ext cx="252000" cy="254540"/>
        </a:xfrm>
        <a:prstGeom prst="rect">
          <a:avLst/>
        </a:prstGeom>
      </xdr:spPr>
    </xdr:pic>
    <xdr:clientData/>
  </xdr:twoCellAnchor>
  <xdr:twoCellAnchor editAs="absolute">
    <xdr:from>
      <xdr:col>3</xdr:col>
      <xdr:colOff>1269</xdr:colOff>
      <xdr:row>1</xdr:row>
      <xdr:rowOff>5080</xdr:rowOff>
    </xdr:from>
    <xdr:to>
      <xdr:col>18</xdr:col>
      <xdr:colOff>40531</xdr:colOff>
      <xdr:row>3</xdr:row>
      <xdr:rowOff>101600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27068EBD-1111-4C66-85AD-08CF546B8126}"/>
            </a:ext>
          </a:extLst>
        </xdr:cNvPr>
        <xdr:cNvSpPr/>
      </xdr:nvSpPr>
      <xdr:spPr>
        <a:xfrm>
          <a:off x="2379141" y="187474"/>
          <a:ext cx="9158943" cy="461307"/>
        </a:xfrm>
        <a:prstGeom prst="rect">
          <a:avLst/>
        </a:prstGeom>
        <a:solidFill>
          <a:schemeClr val="bg1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2800" b="1">
              <a:solidFill>
                <a:sysClr val="windowText" lastClr="000000"/>
              </a:solidFill>
            </a:rPr>
            <a:t>    Inventory</a:t>
          </a:r>
          <a:r>
            <a:rPr lang="en-IN" sz="2800" b="1" baseline="0">
              <a:solidFill>
                <a:sysClr val="windowText" lastClr="000000"/>
              </a:solidFill>
            </a:rPr>
            <a:t> Management System</a:t>
          </a:r>
          <a:endParaRPr lang="en-IN" sz="2800" b="1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3</xdr:col>
      <xdr:colOff>19050</xdr:colOff>
      <xdr:row>4</xdr:row>
      <xdr:rowOff>130175</xdr:rowOff>
    </xdr:from>
    <xdr:to>
      <xdr:col>5</xdr:col>
      <xdr:colOff>107950</xdr:colOff>
      <xdr:row>7</xdr:row>
      <xdr:rowOff>142875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603E6237-84E2-812F-A4ED-4689607D5922}"/>
            </a:ext>
          </a:extLst>
        </xdr:cNvPr>
        <xdr:cNvSpPr/>
      </xdr:nvSpPr>
      <xdr:spPr>
        <a:xfrm>
          <a:off x="2400300" y="866775"/>
          <a:ext cx="1308100" cy="565150"/>
        </a:xfrm>
        <a:prstGeom prst="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>
              <a:solidFill>
                <a:schemeClr val="tx2">
                  <a:lumMod val="90000"/>
                  <a:lumOff val="10000"/>
                </a:schemeClr>
              </a:solidFill>
            </a:rPr>
            <a:t>         </a:t>
          </a:r>
          <a:r>
            <a:rPr lang="en-IN" sz="1200" b="1">
              <a:solidFill>
                <a:schemeClr val="tx2">
                  <a:lumMod val="90000"/>
                  <a:lumOff val="10000"/>
                </a:schemeClr>
              </a:solidFill>
            </a:rPr>
            <a:t>Customers</a:t>
          </a:r>
          <a:endParaRPr lang="en-IN" sz="1100" b="1">
            <a:solidFill>
              <a:schemeClr val="tx2">
                <a:lumMod val="90000"/>
                <a:lumOff val="10000"/>
              </a:schemeClr>
            </a:solidFill>
          </a:endParaRPr>
        </a:p>
      </xdr:txBody>
    </xdr:sp>
    <xdr:clientData/>
  </xdr:twoCellAnchor>
  <xdr:twoCellAnchor editAs="absolute">
    <xdr:from>
      <xdr:col>5</xdr:col>
      <xdr:colOff>275590</xdr:colOff>
      <xdr:row>4</xdr:row>
      <xdr:rowOff>125095</xdr:rowOff>
    </xdr:from>
    <xdr:to>
      <xdr:col>7</xdr:col>
      <xdr:colOff>256540</xdr:colOff>
      <xdr:row>7</xdr:row>
      <xdr:rowOff>144145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A3A873C6-82A1-94D1-A566-94C7B510C5BF}"/>
            </a:ext>
          </a:extLst>
        </xdr:cNvPr>
        <xdr:cNvSpPr/>
      </xdr:nvSpPr>
      <xdr:spPr>
        <a:xfrm>
          <a:off x="3876040" y="861695"/>
          <a:ext cx="1200150" cy="5715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>
              <a:solidFill>
                <a:schemeClr val="tx2">
                  <a:lumMod val="90000"/>
                  <a:lumOff val="10000"/>
                </a:schemeClr>
              </a:solidFill>
            </a:rPr>
            <a:t>          </a:t>
          </a:r>
          <a:r>
            <a:rPr lang="en-IN" sz="1200" b="1">
              <a:solidFill>
                <a:schemeClr val="tx2">
                  <a:lumMod val="90000"/>
                  <a:lumOff val="10000"/>
                </a:schemeClr>
              </a:solidFill>
            </a:rPr>
            <a:t>Products</a:t>
          </a:r>
          <a:endParaRPr lang="en-IN" sz="1100" b="1">
            <a:solidFill>
              <a:schemeClr val="tx2">
                <a:lumMod val="90000"/>
                <a:lumOff val="10000"/>
              </a:schemeClr>
            </a:solidFill>
          </a:endParaRPr>
        </a:p>
      </xdr:txBody>
    </xdr:sp>
    <xdr:clientData/>
  </xdr:twoCellAnchor>
  <xdr:twoCellAnchor editAs="absolute">
    <xdr:from>
      <xdr:col>7</xdr:col>
      <xdr:colOff>436880</xdr:colOff>
      <xdr:row>4</xdr:row>
      <xdr:rowOff>126365</xdr:rowOff>
    </xdr:from>
    <xdr:to>
      <xdr:col>9</xdr:col>
      <xdr:colOff>532130</xdr:colOff>
      <xdr:row>7</xdr:row>
      <xdr:rowOff>145415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51802278-BEAA-4E3D-8DE4-4F9C6950373D}"/>
            </a:ext>
          </a:extLst>
        </xdr:cNvPr>
        <xdr:cNvSpPr/>
      </xdr:nvSpPr>
      <xdr:spPr>
        <a:xfrm>
          <a:off x="5256530" y="862965"/>
          <a:ext cx="1314450" cy="5715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chemeClr val="tx2">
                  <a:lumMod val="90000"/>
                  <a:lumOff val="10000"/>
                </a:schemeClr>
              </a:solidFill>
            </a:rPr>
            <a:t>Purchase Amount</a:t>
          </a:r>
        </a:p>
      </xdr:txBody>
    </xdr:sp>
    <xdr:clientData/>
  </xdr:twoCellAnchor>
  <xdr:twoCellAnchor editAs="absolute">
    <xdr:from>
      <xdr:col>10</xdr:col>
      <xdr:colOff>77470</xdr:colOff>
      <xdr:row>4</xdr:row>
      <xdr:rowOff>127635</xdr:rowOff>
    </xdr:from>
    <xdr:to>
      <xdr:col>12</xdr:col>
      <xdr:colOff>58420</xdr:colOff>
      <xdr:row>7</xdr:row>
      <xdr:rowOff>146685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1DDFEEF6-4BBA-4408-853C-00FC4AAA966D}"/>
            </a:ext>
          </a:extLst>
        </xdr:cNvPr>
        <xdr:cNvSpPr/>
      </xdr:nvSpPr>
      <xdr:spPr>
        <a:xfrm>
          <a:off x="6725920" y="864235"/>
          <a:ext cx="1200150" cy="5715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 baseline="0">
              <a:solidFill>
                <a:schemeClr val="tx2">
                  <a:lumMod val="90000"/>
                  <a:lumOff val="10000"/>
                </a:schemeClr>
              </a:solidFill>
            </a:rPr>
            <a:t>     </a:t>
          </a:r>
          <a:r>
            <a:rPr lang="en-IN" sz="1200" b="1">
              <a:solidFill>
                <a:schemeClr val="tx2">
                  <a:lumMod val="90000"/>
                  <a:lumOff val="10000"/>
                </a:schemeClr>
              </a:solidFill>
            </a:rPr>
            <a:t>Sales Amt.</a:t>
          </a:r>
        </a:p>
      </xdr:txBody>
    </xdr:sp>
    <xdr:clientData/>
  </xdr:twoCellAnchor>
  <xdr:twoCellAnchor editAs="absolute">
    <xdr:from>
      <xdr:col>12</xdr:col>
      <xdr:colOff>226060</xdr:colOff>
      <xdr:row>4</xdr:row>
      <xdr:rowOff>128905</xdr:rowOff>
    </xdr:from>
    <xdr:to>
      <xdr:col>14</xdr:col>
      <xdr:colOff>207010</xdr:colOff>
      <xdr:row>7</xdr:row>
      <xdr:rowOff>147955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F19EBB9A-BBDD-4E0C-B4B7-06046E274A39}"/>
            </a:ext>
          </a:extLst>
        </xdr:cNvPr>
        <xdr:cNvSpPr/>
      </xdr:nvSpPr>
      <xdr:spPr>
        <a:xfrm>
          <a:off x="8093710" y="865505"/>
          <a:ext cx="1200150" cy="5715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200" b="1">
              <a:solidFill>
                <a:schemeClr val="tx2">
                  <a:lumMod val="90000"/>
                  <a:lumOff val="10000"/>
                </a:schemeClr>
              </a:solidFill>
            </a:rPr>
            <a:t>Stock</a:t>
          </a:r>
          <a:r>
            <a:rPr lang="en-IN" sz="1200" b="1" baseline="0">
              <a:solidFill>
                <a:schemeClr val="tx2">
                  <a:lumMod val="90000"/>
                  <a:lumOff val="10000"/>
                </a:schemeClr>
              </a:solidFill>
            </a:rPr>
            <a:t> Amt.</a:t>
          </a:r>
          <a:endParaRPr lang="en-IN" sz="1200" b="1">
            <a:solidFill>
              <a:schemeClr val="tx2">
                <a:lumMod val="90000"/>
                <a:lumOff val="10000"/>
              </a:schemeClr>
            </a:solidFill>
          </a:endParaRPr>
        </a:p>
      </xdr:txBody>
    </xdr:sp>
    <xdr:clientData/>
  </xdr:twoCellAnchor>
  <xdr:twoCellAnchor editAs="absolute">
    <xdr:from>
      <xdr:col>14</xdr:col>
      <xdr:colOff>374650</xdr:colOff>
      <xdr:row>4</xdr:row>
      <xdr:rowOff>130175</xdr:rowOff>
    </xdr:from>
    <xdr:to>
      <xdr:col>16</xdr:col>
      <xdr:colOff>355600</xdr:colOff>
      <xdr:row>7</xdr:row>
      <xdr:rowOff>149225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880CAC74-DBA9-4E2C-817D-BC789AD4324C}"/>
            </a:ext>
          </a:extLst>
        </xdr:cNvPr>
        <xdr:cNvSpPr/>
      </xdr:nvSpPr>
      <xdr:spPr>
        <a:xfrm>
          <a:off x="9461500" y="866775"/>
          <a:ext cx="1200150" cy="5715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200" b="1">
              <a:solidFill>
                <a:schemeClr val="tx2">
                  <a:lumMod val="90000"/>
                  <a:lumOff val="10000"/>
                </a:schemeClr>
              </a:solidFill>
            </a:rPr>
            <a:t>  Profit</a:t>
          </a:r>
          <a:r>
            <a:rPr lang="en-IN" sz="1200" b="1" baseline="0">
              <a:solidFill>
                <a:schemeClr val="tx2">
                  <a:lumMod val="90000"/>
                  <a:lumOff val="10000"/>
                </a:schemeClr>
              </a:solidFill>
            </a:rPr>
            <a:t> / Loss</a:t>
          </a:r>
          <a:endParaRPr lang="en-IN" sz="1200" b="1">
            <a:solidFill>
              <a:schemeClr val="tx2">
                <a:lumMod val="90000"/>
                <a:lumOff val="10000"/>
              </a:schemeClr>
            </a:solidFill>
          </a:endParaRPr>
        </a:p>
      </xdr:txBody>
    </xdr:sp>
    <xdr:clientData/>
  </xdr:twoCellAnchor>
  <xdr:twoCellAnchor editAs="absolute">
    <xdr:from>
      <xdr:col>3</xdr:col>
      <xdr:colOff>533400</xdr:colOff>
      <xdr:row>6</xdr:row>
      <xdr:rowOff>50800</xdr:rowOff>
    </xdr:from>
    <xdr:to>
      <xdr:col>4</xdr:col>
      <xdr:colOff>539750</xdr:colOff>
      <xdr:row>7</xdr:row>
      <xdr:rowOff>139700</xdr:rowOff>
    </xdr:to>
    <xdr:sp macro="" textlink="Sheet1!C3">
      <xdr:nvSpPr>
        <xdr:cNvPr id="35" name="Rectangle 34">
          <a:extLst>
            <a:ext uri="{FF2B5EF4-FFF2-40B4-BE49-F238E27FC236}">
              <a16:creationId xmlns:a16="http://schemas.microsoft.com/office/drawing/2014/main" id="{81D196DD-ECD3-E982-ECF7-788750F31AEA}"/>
            </a:ext>
          </a:extLst>
        </xdr:cNvPr>
        <xdr:cNvSpPr/>
      </xdr:nvSpPr>
      <xdr:spPr>
        <a:xfrm>
          <a:off x="2914650" y="1155700"/>
          <a:ext cx="615950" cy="2730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BAAAB843-CE47-4F3F-AF32-1C0C5FF3498A}" type="TxLink">
            <a:rPr lang="en-US" sz="1400" b="1" i="0" u="none" strike="noStrike">
              <a:solidFill>
                <a:srgbClr val="000000"/>
              </a:solidFill>
              <a:latin typeface="Aptos Narrow"/>
            </a:rPr>
            <a:pPr algn="l"/>
            <a:t>10</a:t>
          </a:fld>
          <a:endParaRPr lang="en-IN" sz="1400" b="1"/>
        </a:p>
      </xdr:txBody>
    </xdr:sp>
    <xdr:clientData/>
  </xdr:twoCellAnchor>
  <xdr:twoCellAnchor editAs="absolute">
    <xdr:from>
      <xdr:col>6</xdr:col>
      <xdr:colOff>127000</xdr:colOff>
      <xdr:row>6</xdr:row>
      <xdr:rowOff>47625</xdr:rowOff>
    </xdr:from>
    <xdr:to>
      <xdr:col>6</xdr:col>
      <xdr:colOff>520700</xdr:colOff>
      <xdr:row>7</xdr:row>
      <xdr:rowOff>142875</xdr:rowOff>
    </xdr:to>
    <xdr:sp macro="" textlink="Sheet1!C6">
      <xdr:nvSpPr>
        <xdr:cNvPr id="37" name="Rectangle 36">
          <a:extLst>
            <a:ext uri="{FF2B5EF4-FFF2-40B4-BE49-F238E27FC236}">
              <a16:creationId xmlns:a16="http://schemas.microsoft.com/office/drawing/2014/main" id="{96CFEEDD-2535-FBB0-837A-BE0FB71BE9F0}"/>
            </a:ext>
          </a:extLst>
        </xdr:cNvPr>
        <xdr:cNvSpPr/>
      </xdr:nvSpPr>
      <xdr:spPr>
        <a:xfrm>
          <a:off x="4337050" y="1152525"/>
          <a:ext cx="393700" cy="27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EC6CEB81-8AEC-4D3D-929D-A38BA5304045}" type="TxLink">
            <a:rPr lang="en-US" sz="1400" b="1" i="0" u="none" strike="noStrike">
              <a:solidFill>
                <a:srgbClr val="000000"/>
              </a:solidFill>
              <a:latin typeface="Aptos Narrow"/>
            </a:rPr>
            <a:pPr algn="l"/>
            <a:t>10</a:t>
          </a:fld>
          <a:endParaRPr lang="en-IN" sz="1400" b="1"/>
        </a:p>
      </xdr:txBody>
    </xdr:sp>
    <xdr:clientData/>
  </xdr:twoCellAnchor>
  <xdr:twoCellAnchor editAs="absolute">
    <xdr:from>
      <xdr:col>7</xdr:col>
      <xdr:colOff>603250</xdr:colOff>
      <xdr:row>6</xdr:row>
      <xdr:rowOff>60325</xdr:rowOff>
    </xdr:from>
    <xdr:to>
      <xdr:col>9</xdr:col>
      <xdr:colOff>476250</xdr:colOff>
      <xdr:row>7</xdr:row>
      <xdr:rowOff>130175</xdr:rowOff>
    </xdr:to>
    <xdr:sp macro="" textlink="Sheet1!C9">
      <xdr:nvSpPr>
        <xdr:cNvPr id="38" name="Rectangle 37">
          <a:extLst>
            <a:ext uri="{FF2B5EF4-FFF2-40B4-BE49-F238E27FC236}">
              <a16:creationId xmlns:a16="http://schemas.microsoft.com/office/drawing/2014/main" id="{56F5F9A8-8F44-4CD4-A5AC-DF40CC643F1D}"/>
            </a:ext>
          </a:extLst>
        </xdr:cNvPr>
        <xdr:cNvSpPr/>
      </xdr:nvSpPr>
      <xdr:spPr>
        <a:xfrm>
          <a:off x="5422900" y="1165225"/>
          <a:ext cx="1092200" cy="254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F598FFB5-109C-4641-9757-FA2E9E71E615}" type="TxLink">
            <a:rPr lang="en-US" sz="1400" b="1" i="0" u="none" strike="noStrike">
              <a:solidFill>
                <a:srgbClr val="000000"/>
              </a:solidFill>
              <a:latin typeface="Aptos Narrow"/>
            </a:rPr>
            <a:pPr algn="l"/>
            <a:t>₹ 81,59,740</a:t>
          </a:fld>
          <a:endParaRPr lang="en-IN" sz="1400" b="1"/>
        </a:p>
      </xdr:txBody>
    </xdr:sp>
    <xdr:clientData/>
  </xdr:twoCellAnchor>
  <xdr:twoCellAnchor editAs="absolute">
    <xdr:from>
      <xdr:col>10</xdr:col>
      <xdr:colOff>165100</xdr:colOff>
      <xdr:row>6</xdr:row>
      <xdr:rowOff>50800</xdr:rowOff>
    </xdr:from>
    <xdr:to>
      <xdr:col>12</xdr:col>
      <xdr:colOff>38100</xdr:colOff>
      <xdr:row>7</xdr:row>
      <xdr:rowOff>139700</xdr:rowOff>
    </xdr:to>
    <xdr:sp macro="" textlink="Sheet1!C13">
      <xdr:nvSpPr>
        <xdr:cNvPr id="39" name="Rectangle 38">
          <a:extLst>
            <a:ext uri="{FF2B5EF4-FFF2-40B4-BE49-F238E27FC236}">
              <a16:creationId xmlns:a16="http://schemas.microsoft.com/office/drawing/2014/main" id="{03619D74-7241-4107-AF9A-AE09B741D13D}"/>
            </a:ext>
          </a:extLst>
        </xdr:cNvPr>
        <xdr:cNvSpPr/>
      </xdr:nvSpPr>
      <xdr:spPr>
        <a:xfrm>
          <a:off x="6813550" y="1155700"/>
          <a:ext cx="1092200" cy="2730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4A3D6741-7DE4-48CD-8BB0-FD3D7BF80017}" type="TxLink">
            <a:rPr lang="en-US" sz="1400" b="1" i="0" u="none" strike="noStrike">
              <a:solidFill>
                <a:srgbClr val="000000"/>
              </a:solidFill>
              <a:latin typeface="Aptos Narrow"/>
            </a:rPr>
            <a:pPr algn="l"/>
            <a:t>₹ 56,32,600</a:t>
          </a:fld>
          <a:endParaRPr lang="en-IN" sz="1400" b="1"/>
        </a:p>
      </xdr:txBody>
    </xdr:sp>
    <xdr:clientData/>
  </xdr:twoCellAnchor>
  <xdr:twoCellAnchor editAs="absolute">
    <xdr:from>
      <xdr:col>12</xdr:col>
      <xdr:colOff>317500</xdr:colOff>
      <xdr:row>6</xdr:row>
      <xdr:rowOff>57150</xdr:rowOff>
    </xdr:from>
    <xdr:to>
      <xdr:col>14</xdr:col>
      <xdr:colOff>330200</xdr:colOff>
      <xdr:row>7</xdr:row>
      <xdr:rowOff>133350</xdr:rowOff>
    </xdr:to>
    <xdr:sp macro="" textlink="Sheet1!C17">
      <xdr:nvSpPr>
        <xdr:cNvPr id="40" name="Rectangle 39">
          <a:extLst>
            <a:ext uri="{FF2B5EF4-FFF2-40B4-BE49-F238E27FC236}">
              <a16:creationId xmlns:a16="http://schemas.microsoft.com/office/drawing/2014/main" id="{8B79A4A7-7960-417E-895E-DFA8BA58F5E9}"/>
            </a:ext>
          </a:extLst>
        </xdr:cNvPr>
        <xdr:cNvSpPr/>
      </xdr:nvSpPr>
      <xdr:spPr>
        <a:xfrm>
          <a:off x="8185150" y="1162050"/>
          <a:ext cx="1231900" cy="2603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3A7C12C2-3C4C-488E-8F9B-FB04796DCBE0}" type="TxLink">
            <a:rPr lang="en-US" sz="1400" b="1" i="0" u="none" strike="noStrike">
              <a:solidFill>
                <a:srgbClr val="000000"/>
              </a:solidFill>
              <a:latin typeface="Aptos Narrow"/>
            </a:rPr>
            <a:pPr algn="l"/>
            <a:t>₹ 29,31,440</a:t>
          </a:fld>
          <a:endParaRPr lang="en-IN" sz="1400" b="1"/>
        </a:p>
      </xdr:txBody>
    </xdr:sp>
    <xdr:clientData/>
  </xdr:twoCellAnchor>
  <xdr:twoCellAnchor editAs="absolute">
    <xdr:from>
      <xdr:col>14</xdr:col>
      <xdr:colOff>571500</xdr:colOff>
      <xdr:row>6</xdr:row>
      <xdr:rowOff>28575</xdr:rowOff>
    </xdr:from>
    <xdr:to>
      <xdr:col>16</xdr:col>
      <xdr:colOff>361950</xdr:colOff>
      <xdr:row>7</xdr:row>
      <xdr:rowOff>161925</xdr:rowOff>
    </xdr:to>
    <xdr:sp macro="" textlink="Sheet1!C20">
      <xdr:nvSpPr>
        <xdr:cNvPr id="41" name="Rectangle 40">
          <a:extLst>
            <a:ext uri="{FF2B5EF4-FFF2-40B4-BE49-F238E27FC236}">
              <a16:creationId xmlns:a16="http://schemas.microsoft.com/office/drawing/2014/main" id="{6851E41D-1E60-42B9-9D55-4C8535E12DF0}"/>
            </a:ext>
          </a:extLst>
        </xdr:cNvPr>
        <xdr:cNvSpPr/>
      </xdr:nvSpPr>
      <xdr:spPr>
        <a:xfrm>
          <a:off x="9658350" y="1133475"/>
          <a:ext cx="1009650" cy="3175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646526C2-9249-4006-AAD6-42E4D70FF603}" type="TxLink">
            <a:rPr lang="en-US" sz="1400" b="1" i="0" u="none" strike="noStrike">
              <a:solidFill>
                <a:srgbClr val="000000"/>
              </a:solidFill>
              <a:latin typeface="Aptos Narrow"/>
            </a:rPr>
            <a:pPr algn="l"/>
            <a:t>₹ 4,04,300</a:t>
          </a:fld>
          <a:endParaRPr lang="en-IN" sz="1400" b="1"/>
        </a:p>
      </xdr:txBody>
    </xdr:sp>
    <xdr:clientData/>
  </xdr:twoCellAnchor>
  <xdr:twoCellAnchor>
    <xdr:from>
      <xdr:col>2</xdr:col>
      <xdr:colOff>122715</xdr:colOff>
      <xdr:row>8</xdr:row>
      <xdr:rowOff>43155</xdr:rowOff>
    </xdr:from>
    <xdr:to>
      <xdr:col>7</xdr:col>
      <xdr:colOff>221941</xdr:colOff>
      <xdr:row>16</xdr:row>
      <xdr:rowOff>55484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578770F5-5710-4DB7-ADAF-9C4236A09B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7</xdr:col>
      <xdr:colOff>295922</xdr:colOff>
      <xdr:row>8</xdr:row>
      <xdr:rowOff>26754</xdr:rowOff>
    </xdr:from>
    <xdr:to>
      <xdr:col>11</xdr:col>
      <xdr:colOff>517864</xdr:colOff>
      <xdr:row>16</xdr:row>
      <xdr:rowOff>80145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F9DFF5E6-0CBC-4FB1-9CD0-77DB94F46B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2</xdr:col>
      <xdr:colOff>104806</xdr:colOff>
      <xdr:row>16</xdr:row>
      <xdr:rowOff>117135</xdr:rowOff>
    </xdr:from>
    <xdr:to>
      <xdr:col>11</xdr:col>
      <xdr:colOff>505533</xdr:colOff>
      <xdr:row>25</xdr:row>
      <xdr:rowOff>73979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7002ECCB-AE83-4C91-87B4-4A9141B7A9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 editAs="oneCell">
    <xdr:from>
      <xdr:col>11</xdr:col>
      <xdr:colOff>128351</xdr:colOff>
      <xdr:row>0</xdr:row>
      <xdr:rowOff>141861</xdr:rowOff>
    </xdr:from>
    <xdr:to>
      <xdr:col>12</xdr:col>
      <xdr:colOff>74309</xdr:colOff>
      <xdr:row>3</xdr:row>
      <xdr:rowOff>148617</xdr:rowOff>
    </xdr:to>
    <xdr:pic>
      <xdr:nvPicPr>
        <xdr:cNvPr id="47" name="Graphic 46" descr="Bar graph with upward trend with solid fill">
          <a:extLst>
            <a:ext uri="{FF2B5EF4-FFF2-40B4-BE49-F238E27FC236}">
              <a16:creationId xmlns:a16="http://schemas.microsoft.com/office/drawing/2014/main" id="{CAE03884-37D4-FF6F-C5AC-059C96BCB9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96DAC541-7B7A-43D3-8B79-37D633B846F1}">
              <asvg:svgBlip xmlns:asvg="http://schemas.microsoft.com/office/drawing/2016/SVG/main" r:embed="rId31"/>
            </a:ext>
          </a:extLst>
        </a:blip>
        <a:stretch>
          <a:fillRect/>
        </a:stretch>
      </xdr:blipFill>
      <xdr:spPr>
        <a:xfrm>
          <a:off x="7370053" y="141861"/>
          <a:ext cx="553937" cy="55393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670560</xdr:colOff>
      <xdr:row>1</xdr:row>
      <xdr:rowOff>36831</xdr:rowOff>
    </xdr:from>
    <xdr:to>
      <xdr:col>1</xdr:col>
      <xdr:colOff>1148080</xdr:colOff>
      <xdr:row>3</xdr:row>
      <xdr:rowOff>116841</xdr:rowOff>
    </xdr:to>
    <xdr:pic>
      <xdr:nvPicPr>
        <xdr:cNvPr id="2" name="Graphic 1" descr="Checklist with solid fill">
          <a:extLst>
            <a:ext uri="{FF2B5EF4-FFF2-40B4-BE49-F238E27FC236}">
              <a16:creationId xmlns:a16="http://schemas.microsoft.com/office/drawing/2014/main" id="{BA52654F-CF2B-4807-AC4E-380ED27EEB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69010" y="220981"/>
          <a:ext cx="477520" cy="448310"/>
        </a:xfrm>
        <a:prstGeom prst="rect">
          <a:avLst/>
        </a:prstGeom>
      </xdr:spPr>
    </xdr:pic>
    <xdr:clientData/>
  </xdr:twoCellAnchor>
  <xdr:twoCellAnchor>
    <xdr:from>
      <xdr:col>1</xdr:col>
      <xdr:colOff>25400</xdr:colOff>
      <xdr:row>3</xdr:row>
      <xdr:rowOff>29210</xdr:rowOff>
    </xdr:from>
    <xdr:to>
      <xdr:col>1</xdr:col>
      <xdr:colOff>1798320</xdr:colOff>
      <xdr:row>6</xdr:row>
      <xdr:rowOff>35560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EADEEA8-1663-44C9-839E-622A5E94D19B}"/>
            </a:ext>
          </a:extLst>
        </xdr:cNvPr>
        <xdr:cNvSpPr/>
      </xdr:nvSpPr>
      <xdr:spPr>
        <a:xfrm>
          <a:off x="323850" y="581660"/>
          <a:ext cx="1772920" cy="5588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400" b="1">
              <a:solidFill>
                <a:schemeClr val="tx1"/>
              </a:solidFill>
            </a:rPr>
            <a:t>Inventory</a:t>
          </a:r>
          <a:r>
            <a:rPr lang="en-IN" sz="1400" b="1" baseline="0">
              <a:solidFill>
                <a:schemeClr val="tx1"/>
              </a:solidFill>
            </a:rPr>
            <a:t> Management System</a:t>
          </a:r>
          <a:endParaRPr lang="en-IN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391160</xdr:colOff>
      <xdr:row>6</xdr:row>
      <xdr:rowOff>156210</xdr:rowOff>
    </xdr:from>
    <xdr:to>
      <xdr:col>1</xdr:col>
      <xdr:colOff>1854200</xdr:colOff>
      <xdr:row>8</xdr:row>
      <xdr:rowOff>91440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CB33FF6-9C30-439C-B29D-3EF425B57F2C}"/>
            </a:ext>
          </a:extLst>
        </xdr:cNvPr>
        <xdr:cNvSpPr/>
      </xdr:nvSpPr>
      <xdr:spPr>
        <a:xfrm>
          <a:off x="689610" y="1261110"/>
          <a:ext cx="1463040" cy="30353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0" baseline="0">
              <a:solidFill>
                <a:schemeClr val="tx1">
                  <a:lumMod val="50000"/>
                  <a:lumOff val="50000"/>
                </a:schemeClr>
              </a:solidFill>
            </a:rPr>
            <a:t>Dashboard</a:t>
          </a:r>
          <a:endParaRPr lang="en-IN" sz="1400" b="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391160</xdr:colOff>
      <xdr:row>8</xdr:row>
      <xdr:rowOff>78559</xdr:rowOff>
    </xdr:from>
    <xdr:to>
      <xdr:col>1</xdr:col>
      <xdr:colOff>1854200</xdr:colOff>
      <xdr:row>10</xdr:row>
      <xdr:rowOff>13789</xdr:rowOff>
    </xdr:to>
    <xdr:sp macro="" textlink="">
      <xdr:nvSpPr>
        <xdr:cNvPr id="5" name="Rectangle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E0356DD-6F35-4C82-AB1A-36D4D7A46784}"/>
            </a:ext>
          </a:extLst>
        </xdr:cNvPr>
        <xdr:cNvSpPr/>
      </xdr:nvSpPr>
      <xdr:spPr>
        <a:xfrm>
          <a:off x="689610" y="1551759"/>
          <a:ext cx="1463040" cy="30353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baseline="0">
              <a:solidFill>
                <a:sysClr val="windowText" lastClr="000000"/>
              </a:solidFill>
            </a:rPr>
            <a:t>Customers</a:t>
          </a:r>
          <a:endParaRPr lang="en-IN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391160</xdr:colOff>
      <xdr:row>10</xdr:row>
      <xdr:rowOff>908</xdr:rowOff>
    </xdr:from>
    <xdr:to>
      <xdr:col>1</xdr:col>
      <xdr:colOff>1854200</xdr:colOff>
      <xdr:row>11</xdr:row>
      <xdr:rowOff>119018</xdr:rowOff>
    </xdr:to>
    <xdr:sp macro="" textlink="">
      <xdr:nvSpPr>
        <xdr:cNvPr id="6" name="Rectangle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DBA9AE5-B2F4-4CF8-8F30-30F55D5C17D0}"/>
            </a:ext>
          </a:extLst>
        </xdr:cNvPr>
        <xdr:cNvSpPr/>
      </xdr:nvSpPr>
      <xdr:spPr>
        <a:xfrm>
          <a:off x="689610" y="1842408"/>
          <a:ext cx="1463040" cy="3022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0" baseline="0">
              <a:solidFill>
                <a:schemeClr val="tx1">
                  <a:lumMod val="50000"/>
                  <a:lumOff val="50000"/>
                </a:schemeClr>
              </a:solidFill>
            </a:rPr>
            <a:t>Products</a:t>
          </a:r>
          <a:endParaRPr lang="en-IN" sz="1400" b="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391160</xdr:colOff>
      <xdr:row>11</xdr:row>
      <xdr:rowOff>106137</xdr:rowOff>
    </xdr:from>
    <xdr:to>
      <xdr:col>1</xdr:col>
      <xdr:colOff>1854200</xdr:colOff>
      <xdr:row>13</xdr:row>
      <xdr:rowOff>41367</xdr:rowOff>
    </xdr:to>
    <xdr:sp macro="" textlink="">
      <xdr:nvSpPr>
        <xdr:cNvPr id="7" name="Rectangle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E688B5B7-2D73-4EF4-855C-2395C9F807D2}"/>
            </a:ext>
          </a:extLst>
        </xdr:cNvPr>
        <xdr:cNvSpPr/>
      </xdr:nvSpPr>
      <xdr:spPr>
        <a:xfrm>
          <a:off x="689610" y="2131787"/>
          <a:ext cx="1463040" cy="30353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0" baseline="0">
              <a:solidFill>
                <a:schemeClr val="tx1">
                  <a:lumMod val="50000"/>
                  <a:lumOff val="50000"/>
                </a:schemeClr>
              </a:solidFill>
            </a:rPr>
            <a:t>Vendors</a:t>
          </a:r>
          <a:endParaRPr lang="en-IN" sz="1400" b="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391160</xdr:colOff>
      <xdr:row>14</xdr:row>
      <xdr:rowOff>133715</xdr:rowOff>
    </xdr:from>
    <xdr:to>
      <xdr:col>1</xdr:col>
      <xdr:colOff>1854200</xdr:colOff>
      <xdr:row>16</xdr:row>
      <xdr:rowOff>68945</xdr:rowOff>
    </xdr:to>
    <xdr:sp macro="" textlink="">
      <xdr:nvSpPr>
        <xdr:cNvPr id="8" name="Rectangle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2175AC1-C7EA-45EA-B616-F40316635830}"/>
            </a:ext>
          </a:extLst>
        </xdr:cNvPr>
        <xdr:cNvSpPr/>
      </xdr:nvSpPr>
      <xdr:spPr>
        <a:xfrm>
          <a:off x="689610" y="2711815"/>
          <a:ext cx="1463040" cy="30353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0" baseline="0">
              <a:solidFill>
                <a:schemeClr val="tx1">
                  <a:lumMod val="50000"/>
                  <a:lumOff val="50000"/>
                </a:schemeClr>
              </a:solidFill>
            </a:rPr>
            <a:t>Purchase</a:t>
          </a:r>
          <a:endParaRPr lang="en-IN" sz="1400" b="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391160</xdr:colOff>
      <xdr:row>13</xdr:row>
      <xdr:rowOff>28486</xdr:rowOff>
    </xdr:from>
    <xdr:to>
      <xdr:col>1</xdr:col>
      <xdr:colOff>1854200</xdr:colOff>
      <xdr:row>14</xdr:row>
      <xdr:rowOff>146596</xdr:rowOff>
    </xdr:to>
    <xdr:sp macro="" textlink="">
      <xdr:nvSpPr>
        <xdr:cNvPr id="9" name="Rectangle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B9F05FCE-7BD2-41E5-9DE5-35180C8526C0}"/>
            </a:ext>
          </a:extLst>
        </xdr:cNvPr>
        <xdr:cNvSpPr/>
      </xdr:nvSpPr>
      <xdr:spPr>
        <a:xfrm>
          <a:off x="689610" y="2422436"/>
          <a:ext cx="1463040" cy="3022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0" baseline="0">
              <a:solidFill>
                <a:schemeClr val="tx1">
                  <a:lumMod val="50000"/>
                  <a:lumOff val="50000"/>
                </a:schemeClr>
              </a:solidFill>
            </a:rPr>
            <a:t>New Entry</a:t>
          </a:r>
          <a:endParaRPr lang="en-IN" sz="1400" b="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391160</xdr:colOff>
      <xdr:row>16</xdr:row>
      <xdr:rowOff>56064</xdr:rowOff>
    </xdr:from>
    <xdr:to>
      <xdr:col>1</xdr:col>
      <xdr:colOff>1854200</xdr:colOff>
      <xdr:row>17</xdr:row>
      <xdr:rowOff>174174</xdr:rowOff>
    </xdr:to>
    <xdr:sp macro="" textlink="">
      <xdr:nvSpPr>
        <xdr:cNvPr id="10" name="Rectangle 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B3CB0D3-FF8A-462A-805E-13E26CAA1A99}"/>
            </a:ext>
          </a:extLst>
        </xdr:cNvPr>
        <xdr:cNvSpPr/>
      </xdr:nvSpPr>
      <xdr:spPr>
        <a:xfrm>
          <a:off x="689610" y="3002464"/>
          <a:ext cx="1463040" cy="3022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0" baseline="0">
              <a:solidFill>
                <a:schemeClr val="tx1">
                  <a:lumMod val="50000"/>
                  <a:lumOff val="50000"/>
                </a:schemeClr>
              </a:solidFill>
            </a:rPr>
            <a:t>Sales</a:t>
          </a:r>
          <a:endParaRPr lang="en-IN" sz="1400" b="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391160</xdr:colOff>
      <xdr:row>17</xdr:row>
      <xdr:rowOff>161290</xdr:rowOff>
    </xdr:from>
    <xdr:to>
      <xdr:col>1</xdr:col>
      <xdr:colOff>1854200</xdr:colOff>
      <xdr:row>19</xdr:row>
      <xdr:rowOff>96520</xdr:rowOff>
    </xdr:to>
    <xdr:sp macro="" textlink="">
      <xdr:nvSpPr>
        <xdr:cNvPr id="11" name="Rectangle 1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28884553-BA5E-4FFF-BEC0-DEB8C2FFB627}"/>
            </a:ext>
          </a:extLst>
        </xdr:cNvPr>
        <xdr:cNvSpPr/>
      </xdr:nvSpPr>
      <xdr:spPr>
        <a:xfrm>
          <a:off x="689610" y="3291840"/>
          <a:ext cx="1463040" cy="30353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0">
              <a:solidFill>
                <a:schemeClr val="tx1">
                  <a:lumMod val="50000"/>
                  <a:lumOff val="50000"/>
                </a:schemeClr>
              </a:solidFill>
            </a:rPr>
            <a:t>Inventory</a:t>
          </a:r>
        </a:p>
      </xdr:txBody>
    </xdr:sp>
    <xdr:clientData/>
  </xdr:twoCellAnchor>
  <xdr:twoCellAnchor editAs="oneCell">
    <xdr:from>
      <xdr:col>1</xdr:col>
      <xdr:colOff>73171</xdr:colOff>
      <xdr:row>6</xdr:row>
      <xdr:rowOff>148297</xdr:rowOff>
    </xdr:from>
    <xdr:to>
      <xdr:col>1</xdr:col>
      <xdr:colOff>357651</xdr:colOff>
      <xdr:row>7</xdr:row>
      <xdr:rowOff>200367</xdr:rowOff>
    </xdr:to>
    <xdr:pic>
      <xdr:nvPicPr>
        <xdr:cNvPr id="12" name="Graphic 11" descr="Gauge with solid fill">
          <a:extLst>
            <a:ext uri="{FF2B5EF4-FFF2-40B4-BE49-F238E27FC236}">
              <a16:creationId xmlns:a16="http://schemas.microsoft.com/office/drawing/2014/main" id="{D8A97383-987C-42A5-8D3B-E4E5EEBDE0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71621" y="1253197"/>
          <a:ext cx="284480" cy="287020"/>
        </a:xfrm>
        <a:prstGeom prst="rect">
          <a:avLst/>
        </a:prstGeom>
      </xdr:spPr>
    </xdr:pic>
    <xdr:clientData/>
  </xdr:twoCellAnchor>
  <xdr:twoCellAnchor editAs="oneCell">
    <xdr:from>
      <xdr:col>1</xdr:col>
      <xdr:colOff>93440</xdr:colOff>
      <xdr:row>8</xdr:row>
      <xdr:rowOff>122183</xdr:rowOff>
    </xdr:from>
    <xdr:to>
      <xdr:col>1</xdr:col>
      <xdr:colOff>345440</xdr:colOff>
      <xdr:row>9</xdr:row>
      <xdr:rowOff>141773</xdr:rowOff>
    </xdr:to>
    <xdr:pic>
      <xdr:nvPicPr>
        <xdr:cNvPr id="13" name="Graphic 12" descr="Target Audience with solid fill">
          <a:extLst>
            <a:ext uri="{FF2B5EF4-FFF2-40B4-BE49-F238E27FC236}">
              <a16:creationId xmlns:a16="http://schemas.microsoft.com/office/drawing/2014/main" id="{75989721-6908-41D9-9CA2-96A114BD88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91890" y="1595383"/>
          <a:ext cx="252000" cy="254540"/>
        </a:xfrm>
        <a:prstGeom prst="rect">
          <a:avLst/>
        </a:prstGeom>
      </xdr:spPr>
    </xdr:pic>
    <xdr:clientData/>
  </xdr:twoCellAnchor>
  <xdr:twoCellAnchor editAs="oneCell">
    <xdr:from>
      <xdr:col>1</xdr:col>
      <xdr:colOff>93440</xdr:colOff>
      <xdr:row>10</xdr:row>
      <xdr:rowOff>39166</xdr:rowOff>
    </xdr:from>
    <xdr:to>
      <xdr:col>1</xdr:col>
      <xdr:colOff>345440</xdr:colOff>
      <xdr:row>11</xdr:row>
      <xdr:rowOff>57486</xdr:rowOff>
    </xdr:to>
    <xdr:pic>
      <xdr:nvPicPr>
        <xdr:cNvPr id="14" name="Graphic 13" descr="Shopping cart with solid fill">
          <a:extLst>
            <a:ext uri="{FF2B5EF4-FFF2-40B4-BE49-F238E27FC236}">
              <a16:creationId xmlns:a16="http://schemas.microsoft.com/office/drawing/2014/main" id="{26377CE8-EAFE-4D18-A979-44007019DF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91890" y="1880666"/>
          <a:ext cx="252000" cy="253270"/>
        </a:xfrm>
        <a:prstGeom prst="rect">
          <a:avLst/>
        </a:prstGeom>
      </xdr:spPr>
    </xdr:pic>
    <xdr:clientData/>
  </xdr:twoCellAnchor>
  <xdr:twoCellAnchor editAs="oneCell">
    <xdr:from>
      <xdr:col>1</xdr:col>
      <xdr:colOff>93440</xdr:colOff>
      <xdr:row>11</xdr:row>
      <xdr:rowOff>139029</xdr:rowOff>
    </xdr:from>
    <xdr:to>
      <xdr:col>1</xdr:col>
      <xdr:colOff>345440</xdr:colOff>
      <xdr:row>12</xdr:row>
      <xdr:rowOff>158619</xdr:rowOff>
    </xdr:to>
    <xdr:pic>
      <xdr:nvPicPr>
        <xdr:cNvPr id="15" name="Graphic 14" descr="Male profile with solid fill">
          <a:extLst>
            <a:ext uri="{FF2B5EF4-FFF2-40B4-BE49-F238E27FC236}">
              <a16:creationId xmlns:a16="http://schemas.microsoft.com/office/drawing/2014/main" id="{15D0CF10-BB3A-4DD6-B239-A6F67DE3DB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91890" y="2164679"/>
          <a:ext cx="252000" cy="254540"/>
        </a:xfrm>
        <a:prstGeom prst="rect">
          <a:avLst/>
        </a:prstGeom>
      </xdr:spPr>
    </xdr:pic>
    <xdr:clientData/>
  </xdr:twoCellAnchor>
  <xdr:twoCellAnchor editAs="oneCell">
    <xdr:from>
      <xdr:col>1</xdr:col>
      <xdr:colOff>93440</xdr:colOff>
      <xdr:row>14</xdr:row>
      <xdr:rowOff>155875</xdr:rowOff>
    </xdr:from>
    <xdr:to>
      <xdr:col>1</xdr:col>
      <xdr:colOff>345440</xdr:colOff>
      <xdr:row>15</xdr:row>
      <xdr:rowOff>175465</xdr:rowOff>
    </xdr:to>
    <xdr:pic>
      <xdr:nvPicPr>
        <xdr:cNvPr id="16" name="Graphic 15" descr="Document with solid fill">
          <a:extLst>
            <a:ext uri="{FF2B5EF4-FFF2-40B4-BE49-F238E27FC236}">
              <a16:creationId xmlns:a16="http://schemas.microsoft.com/office/drawing/2014/main" id="{065043A6-414C-4799-829E-3747D706C3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91890" y="2733975"/>
          <a:ext cx="252000" cy="254540"/>
        </a:xfrm>
        <a:prstGeom prst="rect">
          <a:avLst/>
        </a:prstGeom>
      </xdr:spPr>
    </xdr:pic>
    <xdr:clientData/>
  </xdr:twoCellAnchor>
  <xdr:twoCellAnchor editAs="oneCell">
    <xdr:from>
      <xdr:col>1</xdr:col>
      <xdr:colOff>93440</xdr:colOff>
      <xdr:row>13</xdr:row>
      <xdr:rowOff>56012</xdr:rowOff>
    </xdr:from>
    <xdr:to>
      <xdr:col>1</xdr:col>
      <xdr:colOff>345440</xdr:colOff>
      <xdr:row>14</xdr:row>
      <xdr:rowOff>74332</xdr:rowOff>
    </xdr:to>
    <xdr:pic>
      <xdr:nvPicPr>
        <xdr:cNvPr id="17" name="Graphic 16" descr="Books with solid fill">
          <a:extLst>
            <a:ext uri="{FF2B5EF4-FFF2-40B4-BE49-F238E27FC236}">
              <a16:creationId xmlns:a16="http://schemas.microsoft.com/office/drawing/2014/main" id="{66E57836-927F-413B-A664-A054CECA7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91890" y="2449962"/>
          <a:ext cx="252000" cy="253270"/>
        </a:xfrm>
        <a:prstGeom prst="rect">
          <a:avLst/>
        </a:prstGeom>
      </xdr:spPr>
    </xdr:pic>
    <xdr:clientData/>
  </xdr:twoCellAnchor>
  <xdr:twoCellAnchor editAs="oneCell">
    <xdr:from>
      <xdr:col>1</xdr:col>
      <xdr:colOff>93440</xdr:colOff>
      <xdr:row>16</xdr:row>
      <xdr:rowOff>72858</xdr:rowOff>
    </xdr:from>
    <xdr:to>
      <xdr:col>1</xdr:col>
      <xdr:colOff>345440</xdr:colOff>
      <xdr:row>17</xdr:row>
      <xdr:rowOff>141978</xdr:rowOff>
    </xdr:to>
    <xdr:pic>
      <xdr:nvPicPr>
        <xdr:cNvPr id="18" name="Graphic 17" descr="Open book with solid fill">
          <a:extLst>
            <a:ext uri="{FF2B5EF4-FFF2-40B4-BE49-F238E27FC236}">
              <a16:creationId xmlns:a16="http://schemas.microsoft.com/office/drawing/2014/main" id="{3F69C692-EB8B-4A06-B95D-08C559AFBD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91890" y="3019258"/>
          <a:ext cx="252000" cy="253270"/>
        </a:xfrm>
        <a:prstGeom prst="rect">
          <a:avLst/>
        </a:prstGeom>
      </xdr:spPr>
    </xdr:pic>
    <xdr:clientData/>
  </xdr:twoCellAnchor>
  <xdr:twoCellAnchor editAs="oneCell">
    <xdr:from>
      <xdr:col>1</xdr:col>
      <xdr:colOff>93440</xdr:colOff>
      <xdr:row>17</xdr:row>
      <xdr:rowOff>172720</xdr:rowOff>
    </xdr:from>
    <xdr:to>
      <xdr:col>1</xdr:col>
      <xdr:colOff>345440</xdr:colOff>
      <xdr:row>19</xdr:row>
      <xdr:rowOff>58960</xdr:rowOff>
    </xdr:to>
    <xdr:pic>
      <xdr:nvPicPr>
        <xdr:cNvPr id="19" name="Graphic 18" descr="List with solid fill">
          <a:extLst>
            <a:ext uri="{FF2B5EF4-FFF2-40B4-BE49-F238E27FC236}">
              <a16:creationId xmlns:a16="http://schemas.microsoft.com/office/drawing/2014/main" id="{1F240DA1-CC4A-47D4-A0E9-8F117D2517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91890" y="3303270"/>
          <a:ext cx="252000" cy="254540"/>
        </a:xfrm>
        <a:prstGeom prst="rect">
          <a:avLst/>
        </a:prstGeom>
      </xdr:spPr>
    </xdr:pic>
    <xdr:clientData/>
  </xdr:twoCellAnchor>
  <xdr:twoCellAnchor editAs="absolute">
    <xdr:from>
      <xdr:col>3</xdr:col>
      <xdr:colOff>1270</xdr:colOff>
      <xdr:row>1</xdr:row>
      <xdr:rowOff>5080</xdr:rowOff>
    </xdr:from>
    <xdr:to>
      <xdr:col>11</xdr:col>
      <xdr:colOff>483870</xdr:colOff>
      <xdr:row>3</xdr:row>
      <xdr:rowOff>101600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18E88F87-0C07-4584-B2D8-9EF6151414C6}"/>
            </a:ext>
          </a:extLst>
        </xdr:cNvPr>
        <xdr:cNvSpPr/>
      </xdr:nvSpPr>
      <xdr:spPr>
        <a:xfrm>
          <a:off x="2382520" y="189230"/>
          <a:ext cx="6502400" cy="464820"/>
        </a:xfrm>
        <a:prstGeom prst="rect">
          <a:avLst/>
        </a:prstGeom>
        <a:solidFill>
          <a:schemeClr val="bg1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2800" b="1">
              <a:solidFill>
                <a:sysClr val="windowText" lastClr="000000"/>
              </a:solidFill>
            </a:rPr>
            <a:t>    Customers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670560</xdr:colOff>
      <xdr:row>1</xdr:row>
      <xdr:rowOff>36831</xdr:rowOff>
    </xdr:from>
    <xdr:to>
      <xdr:col>1</xdr:col>
      <xdr:colOff>1148080</xdr:colOff>
      <xdr:row>3</xdr:row>
      <xdr:rowOff>116841</xdr:rowOff>
    </xdr:to>
    <xdr:pic>
      <xdr:nvPicPr>
        <xdr:cNvPr id="2" name="Graphic 1" descr="Checklist with solid fill">
          <a:extLst>
            <a:ext uri="{FF2B5EF4-FFF2-40B4-BE49-F238E27FC236}">
              <a16:creationId xmlns:a16="http://schemas.microsoft.com/office/drawing/2014/main" id="{8CFDBC41-4F79-4437-8DA4-3DCF563A26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69010" y="220981"/>
          <a:ext cx="477520" cy="448310"/>
        </a:xfrm>
        <a:prstGeom prst="rect">
          <a:avLst/>
        </a:prstGeom>
      </xdr:spPr>
    </xdr:pic>
    <xdr:clientData/>
  </xdr:twoCellAnchor>
  <xdr:twoCellAnchor>
    <xdr:from>
      <xdr:col>1</xdr:col>
      <xdr:colOff>25400</xdr:colOff>
      <xdr:row>3</xdr:row>
      <xdr:rowOff>29210</xdr:rowOff>
    </xdr:from>
    <xdr:to>
      <xdr:col>1</xdr:col>
      <xdr:colOff>1798320</xdr:colOff>
      <xdr:row>6</xdr:row>
      <xdr:rowOff>35560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231F03EB-4F2B-4D14-BFA9-DECD7DC29428}"/>
            </a:ext>
          </a:extLst>
        </xdr:cNvPr>
        <xdr:cNvSpPr/>
      </xdr:nvSpPr>
      <xdr:spPr>
        <a:xfrm>
          <a:off x="323850" y="581660"/>
          <a:ext cx="1772920" cy="5588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400" b="1">
              <a:solidFill>
                <a:schemeClr val="tx1"/>
              </a:solidFill>
            </a:rPr>
            <a:t>Inventory</a:t>
          </a:r>
          <a:r>
            <a:rPr lang="en-IN" sz="1400" b="1" baseline="0">
              <a:solidFill>
                <a:schemeClr val="tx1"/>
              </a:solidFill>
            </a:rPr>
            <a:t> Management System</a:t>
          </a:r>
          <a:endParaRPr lang="en-IN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391160</xdr:colOff>
      <xdr:row>6</xdr:row>
      <xdr:rowOff>156210</xdr:rowOff>
    </xdr:from>
    <xdr:to>
      <xdr:col>1</xdr:col>
      <xdr:colOff>1854200</xdr:colOff>
      <xdr:row>8</xdr:row>
      <xdr:rowOff>91440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7C8E846-41FB-4FB7-9823-2D26C4EB9391}"/>
            </a:ext>
          </a:extLst>
        </xdr:cNvPr>
        <xdr:cNvSpPr/>
      </xdr:nvSpPr>
      <xdr:spPr>
        <a:xfrm>
          <a:off x="689610" y="1261110"/>
          <a:ext cx="1463040" cy="30353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0" baseline="0">
              <a:solidFill>
                <a:schemeClr val="tx1">
                  <a:lumMod val="50000"/>
                  <a:lumOff val="50000"/>
                </a:schemeClr>
              </a:solidFill>
            </a:rPr>
            <a:t>Dashboard</a:t>
          </a:r>
          <a:endParaRPr lang="en-IN" sz="1400" b="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391160</xdr:colOff>
      <xdr:row>8</xdr:row>
      <xdr:rowOff>78559</xdr:rowOff>
    </xdr:from>
    <xdr:to>
      <xdr:col>1</xdr:col>
      <xdr:colOff>1854200</xdr:colOff>
      <xdr:row>10</xdr:row>
      <xdr:rowOff>13789</xdr:rowOff>
    </xdr:to>
    <xdr:sp macro="" textlink="">
      <xdr:nvSpPr>
        <xdr:cNvPr id="5" name="Rectangle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8701CBD-A988-42BD-B919-02C24C29E702}"/>
            </a:ext>
          </a:extLst>
        </xdr:cNvPr>
        <xdr:cNvSpPr/>
      </xdr:nvSpPr>
      <xdr:spPr>
        <a:xfrm>
          <a:off x="689610" y="1551759"/>
          <a:ext cx="1463040" cy="30353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0" baseline="0">
              <a:solidFill>
                <a:schemeClr val="tx1">
                  <a:lumMod val="50000"/>
                  <a:lumOff val="50000"/>
                </a:schemeClr>
              </a:solidFill>
            </a:rPr>
            <a:t>Customers</a:t>
          </a:r>
          <a:endParaRPr lang="en-IN" sz="1400" b="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391160</xdr:colOff>
      <xdr:row>10</xdr:row>
      <xdr:rowOff>908</xdr:rowOff>
    </xdr:from>
    <xdr:to>
      <xdr:col>1</xdr:col>
      <xdr:colOff>1854200</xdr:colOff>
      <xdr:row>11</xdr:row>
      <xdr:rowOff>119018</xdr:rowOff>
    </xdr:to>
    <xdr:sp macro="" textlink="">
      <xdr:nvSpPr>
        <xdr:cNvPr id="6" name="Rectangle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13F7820-B817-4E04-8C3B-7A756A10F8E7}"/>
            </a:ext>
          </a:extLst>
        </xdr:cNvPr>
        <xdr:cNvSpPr/>
      </xdr:nvSpPr>
      <xdr:spPr>
        <a:xfrm>
          <a:off x="689610" y="1842408"/>
          <a:ext cx="1463040" cy="3022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baseline="0">
              <a:solidFill>
                <a:sysClr val="windowText" lastClr="000000"/>
              </a:solidFill>
            </a:rPr>
            <a:t>Products</a:t>
          </a:r>
          <a:endParaRPr lang="en-IN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391160</xdr:colOff>
      <xdr:row>11</xdr:row>
      <xdr:rowOff>106137</xdr:rowOff>
    </xdr:from>
    <xdr:to>
      <xdr:col>1</xdr:col>
      <xdr:colOff>1854200</xdr:colOff>
      <xdr:row>13</xdr:row>
      <xdr:rowOff>41367</xdr:rowOff>
    </xdr:to>
    <xdr:sp macro="" textlink="">
      <xdr:nvSpPr>
        <xdr:cNvPr id="7" name="Rectangle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458DC586-27A1-4C23-9B77-7E177F6A2F06}"/>
            </a:ext>
          </a:extLst>
        </xdr:cNvPr>
        <xdr:cNvSpPr/>
      </xdr:nvSpPr>
      <xdr:spPr>
        <a:xfrm>
          <a:off x="689610" y="2131787"/>
          <a:ext cx="1463040" cy="30353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0" baseline="0">
              <a:solidFill>
                <a:schemeClr val="tx1">
                  <a:lumMod val="50000"/>
                  <a:lumOff val="50000"/>
                </a:schemeClr>
              </a:solidFill>
            </a:rPr>
            <a:t>Vendors</a:t>
          </a:r>
          <a:endParaRPr lang="en-IN" sz="1400" b="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391160</xdr:colOff>
      <xdr:row>14</xdr:row>
      <xdr:rowOff>133715</xdr:rowOff>
    </xdr:from>
    <xdr:to>
      <xdr:col>1</xdr:col>
      <xdr:colOff>1854200</xdr:colOff>
      <xdr:row>16</xdr:row>
      <xdr:rowOff>68945</xdr:rowOff>
    </xdr:to>
    <xdr:sp macro="" textlink="">
      <xdr:nvSpPr>
        <xdr:cNvPr id="8" name="Rectangle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0457448-20CC-4C2B-B207-56AFE5956230}"/>
            </a:ext>
          </a:extLst>
        </xdr:cNvPr>
        <xdr:cNvSpPr/>
      </xdr:nvSpPr>
      <xdr:spPr>
        <a:xfrm>
          <a:off x="689610" y="2711815"/>
          <a:ext cx="1463040" cy="30353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0" baseline="0">
              <a:solidFill>
                <a:schemeClr val="tx1">
                  <a:lumMod val="50000"/>
                  <a:lumOff val="50000"/>
                </a:schemeClr>
              </a:solidFill>
            </a:rPr>
            <a:t>Purchase</a:t>
          </a:r>
          <a:endParaRPr lang="en-IN" sz="1400" b="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391160</xdr:colOff>
      <xdr:row>13</xdr:row>
      <xdr:rowOff>28486</xdr:rowOff>
    </xdr:from>
    <xdr:to>
      <xdr:col>1</xdr:col>
      <xdr:colOff>1854200</xdr:colOff>
      <xdr:row>14</xdr:row>
      <xdr:rowOff>146596</xdr:rowOff>
    </xdr:to>
    <xdr:sp macro="" textlink="">
      <xdr:nvSpPr>
        <xdr:cNvPr id="9" name="Rectangle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7BAA378B-2603-478B-8E8D-02D4274D3172}"/>
            </a:ext>
          </a:extLst>
        </xdr:cNvPr>
        <xdr:cNvSpPr/>
      </xdr:nvSpPr>
      <xdr:spPr>
        <a:xfrm>
          <a:off x="689610" y="2422436"/>
          <a:ext cx="1463040" cy="3022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0" baseline="0">
              <a:solidFill>
                <a:schemeClr val="tx1">
                  <a:lumMod val="50000"/>
                  <a:lumOff val="50000"/>
                </a:schemeClr>
              </a:solidFill>
            </a:rPr>
            <a:t>New Entry</a:t>
          </a:r>
          <a:endParaRPr lang="en-IN" sz="1400" b="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391160</xdr:colOff>
      <xdr:row>16</xdr:row>
      <xdr:rowOff>56064</xdr:rowOff>
    </xdr:from>
    <xdr:to>
      <xdr:col>1</xdr:col>
      <xdr:colOff>1854200</xdr:colOff>
      <xdr:row>17</xdr:row>
      <xdr:rowOff>174174</xdr:rowOff>
    </xdr:to>
    <xdr:sp macro="" textlink="">
      <xdr:nvSpPr>
        <xdr:cNvPr id="10" name="Rectangle 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E529A960-4EA5-48C3-A150-A1784383D610}"/>
            </a:ext>
          </a:extLst>
        </xdr:cNvPr>
        <xdr:cNvSpPr/>
      </xdr:nvSpPr>
      <xdr:spPr>
        <a:xfrm>
          <a:off x="689610" y="3002464"/>
          <a:ext cx="1463040" cy="3022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0" baseline="0">
              <a:solidFill>
                <a:schemeClr val="tx1">
                  <a:lumMod val="50000"/>
                  <a:lumOff val="50000"/>
                </a:schemeClr>
              </a:solidFill>
            </a:rPr>
            <a:t>Sales</a:t>
          </a:r>
          <a:endParaRPr lang="en-IN" sz="1400" b="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391160</xdr:colOff>
      <xdr:row>17</xdr:row>
      <xdr:rowOff>161290</xdr:rowOff>
    </xdr:from>
    <xdr:to>
      <xdr:col>1</xdr:col>
      <xdr:colOff>1854200</xdr:colOff>
      <xdr:row>19</xdr:row>
      <xdr:rowOff>96520</xdr:rowOff>
    </xdr:to>
    <xdr:sp macro="" textlink="">
      <xdr:nvSpPr>
        <xdr:cNvPr id="11" name="Rectangle 1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1AFC44DD-BC56-49D4-A91E-F6DD2462DFDC}"/>
            </a:ext>
          </a:extLst>
        </xdr:cNvPr>
        <xdr:cNvSpPr/>
      </xdr:nvSpPr>
      <xdr:spPr>
        <a:xfrm>
          <a:off x="689610" y="3291840"/>
          <a:ext cx="1463040" cy="30353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0">
              <a:solidFill>
                <a:schemeClr val="tx1">
                  <a:lumMod val="50000"/>
                  <a:lumOff val="50000"/>
                </a:schemeClr>
              </a:solidFill>
            </a:rPr>
            <a:t>Inventory</a:t>
          </a:r>
        </a:p>
      </xdr:txBody>
    </xdr:sp>
    <xdr:clientData/>
  </xdr:twoCellAnchor>
  <xdr:twoCellAnchor editAs="oneCell">
    <xdr:from>
      <xdr:col>1</xdr:col>
      <xdr:colOff>73171</xdr:colOff>
      <xdr:row>6</xdr:row>
      <xdr:rowOff>148297</xdr:rowOff>
    </xdr:from>
    <xdr:to>
      <xdr:col>1</xdr:col>
      <xdr:colOff>357651</xdr:colOff>
      <xdr:row>8</xdr:row>
      <xdr:rowOff>67017</xdr:rowOff>
    </xdr:to>
    <xdr:pic>
      <xdr:nvPicPr>
        <xdr:cNvPr id="12" name="Graphic 11" descr="Gauge with solid fill">
          <a:extLst>
            <a:ext uri="{FF2B5EF4-FFF2-40B4-BE49-F238E27FC236}">
              <a16:creationId xmlns:a16="http://schemas.microsoft.com/office/drawing/2014/main" id="{13371DD6-6492-4C67-B273-CDE002D841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71621" y="1253197"/>
          <a:ext cx="284480" cy="287020"/>
        </a:xfrm>
        <a:prstGeom prst="rect">
          <a:avLst/>
        </a:prstGeom>
      </xdr:spPr>
    </xdr:pic>
    <xdr:clientData/>
  </xdr:twoCellAnchor>
  <xdr:twoCellAnchor editAs="oneCell">
    <xdr:from>
      <xdr:col>1</xdr:col>
      <xdr:colOff>93440</xdr:colOff>
      <xdr:row>8</xdr:row>
      <xdr:rowOff>122183</xdr:rowOff>
    </xdr:from>
    <xdr:to>
      <xdr:col>1</xdr:col>
      <xdr:colOff>345440</xdr:colOff>
      <xdr:row>10</xdr:row>
      <xdr:rowOff>8423</xdr:rowOff>
    </xdr:to>
    <xdr:pic>
      <xdr:nvPicPr>
        <xdr:cNvPr id="13" name="Graphic 12" descr="Target Audience with solid fill">
          <a:extLst>
            <a:ext uri="{FF2B5EF4-FFF2-40B4-BE49-F238E27FC236}">
              <a16:creationId xmlns:a16="http://schemas.microsoft.com/office/drawing/2014/main" id="{107A3EFB-52BE-4762-AF05-D099A26678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91890" y="1595383"/>
          <a:ext cx="252000" cy="254540"/>
        </a:xfrm>
        <a:prstGeom prst="rect">
          <a:avLst/>
        </a:prstGeom>
      </xdr:spPr>
    </xdr:pic>
    <xdr:clientData/>
  </xdr:twoCellAnchor>
  <xdr:twoCellAnchor editAs="oneCell">
    <xdr:from>
      <xdr:col>1</xdr:col>
      <xdr:colOff>93440</xdr:colOff>
      <xdr:row>10</xdr:row>
      <xdr:rowOff>39166</xdr:rowOff>
    </xdr:from>
    <xdr:to>
      <xdr:col>1</xdr:col>
      <xdr:colOff>345440</xdr:colOff>
      <xdr:row>11</xdr:row>
      <xdr:rowOff>108286</xdr:rowOff>
    </xdr:to>
    <xdr:pic>
      <xdr:nvPicPr>
        <xdr:cNvPr id="14" name="Graphic 13" descr="Shopping cart with solid fill">
          <a:extLst>
            <a:ext uri="{FF2B5EF4-FFF2-40B4-BE49-F238E27FC236}">
              <a16:creationId xmlns:a16="http://schemas.microsoft.com/office/drawing/2014/main" id="{9144AEFD-FD76-4D4B-8AE7-490048ABBA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91890" y="1880666"/>
          <a:ext cx="252000" cy="253270"/>
        </a:xfrm>
        <a:prstGeom prst="rect">
          <a:avLst/>
        </a:prstGeom>
      </xdr:spPr>
    </xdr:pic>
    <xdr:clientData/>
  </xdr:twoCellAnchor>
  <xdr:twoCellAnchor editAs="oneCell">
    <xdr:from>
      <xdr:col>1</xdr:col>
      <xdr:colOff>93440</xdr:colOff>
      <xdr:row>11</xdr:row>
      <xdr:rowOff>139029</xdr:rowOff>
    </xdr:from>
    <xdr:to>
      <xdr:col>1</xdr:col>
      <xdr:colOff>345440</xdr:colOff>
      <xdr:row>13</xdr:row>
      <xdr:rowOff>25269</xdr:rowOff>
    </xdr:to>
    <xdr:pic>
      <xdr:nvPicPr>
        <xdr:cNvPr id="15" name="Graphic 14" descr="Male profile with solid fill">
          <a:extLst>
            <a:ext uri="{FF2B5EF4-FFF2-40B4-BE49-F238E27FC236}">
              <a16:creationId xmlns:a16="http://schemas.microsoft.com/office/drawing/2014/main" id="{0426A681-5CF3-4EE7-A892-1FFF599F8A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91890" y="2164679"/>
          <a:ext cx="252000" cy="254540"/>
        </a:xfrm>
        <a:prstGeom prst="rect">
          <a:avLst/>
        </a:prstGeom>
      </xdr:spPr>
    </xdr:pic>
    <xdr:clientData/>
  </xdr:twoCellAnchor>
  <xdr:twoCellAnchor editAs="oneCell">
    <xdr:from>
      <xdr:col>1</xdr:col>
      <xdr:colOff>93440</xdr:colOff>
      <xdr:row>14</xdr:row>
      <xdr:rowOff>155875</xdr:rowOff>
    </xdr:from>
    <xdr:to>
      <xdr:col>1</xdr:col>
      <xdr:colOff>345440</xdr:colOff>
      <xdr:row>16</xdr:row>
      <xdr:rowOff>42115</xdr:rowOff>
    </xdr:to>
    <xdr:pic>
      <xdr:nvPicPr>
        <xdr:cNvPr id="16" name="Graphic 15" descr="Document with solid fill">
          <a:extLst>
            <a:ext uri="{FF2B5EF4-FFF2-40B4-BE49-F238E27FC236}">
              <a16:creationId xmlns:a16="http://schemas.microsoft.com/office/drawing/2014/main" id="{C8BA15C5-9575-4F32-A35A-D7B9352423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91890" y="2733975"/>
          <a:ext cx="252000" cy="254540"/>
        </a:xfrm>
        <a:prstGeom prst="rect">
          <a:avLst/>
        </a:prstGeom>
      </xdr:spPr>
    </xdr:pic>
    <xdr:clientData/>
  </xdr:twoCellAnchor>
  <xdr:twoCellAnchor editAs="oneCell">
    <xdr:from>
      <xdr:col>1</xdr:col>
      <xdr:colOff>93440</xdr:colOff>
      <xdr:row>13</xdr:row>
      <xdr:rowOff>56012</xdr:rowOff>
    </xdr:from>
    <xdr:to>
      <xdr:col>1</xdr:col>
      <xdr:colOff>345440</xdr:colOff>
      <xdr:row>14</xdr:row>
      <xdr:rowOff>125132</xdr:rowOff>
    </xdr:to>
    <xdr:pic>
      <xdr:nvPicPr>
        <xdr:cNvPr id="17" name="Graphic 16" descr="Books with solid fill">
          <a:extLst>
            <a:ext uri="{FF2B5EF4-FFF2-40B4-BE49-F238E27FC236}">
              <a16:creationId xmlns:a16="http://schemas.microsoft.com/office/drawing/2014/main" id="{BED0A276-C330-4317-AA2C-FA7A519E3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91890" y="2449962"/>
          <a:ext cx="252000" cy="253270"/>
        </a:xfrm>
        <a:prstGeom prst="rect">
          <a:avLst/>
        </a:prstGeom>
      </xdr:spPr>
    </xdr:pic>
    <xdr:clientData/>
  </xdr:twoCellAnchor>
  <xdr:twoCellAnchor editAs="oneCell">
    <xdr:from>
      <xdr:col>1</xdr:col>
      <xdr:colOff>93440</xdr:colOff>
      <xdr:row>16</xdr:row>
      <xdr:rowOff>72858</xdr:rowOff>
    </xdr:from>
    <xdr:to>
      <xdr:col>1</xdr:col>
      <xdr:colOff>345440</xdr:colOff>
      <xdr:row>17</xdr:row>
      <xdr:rowOff>141978</xdr:rowOff>
    </xdr:to>
    <xdr:pic>
      <xdr:nvPicPr>
        <xdr:cNvPr id="18" name="Graphic 17" descr="Open book with solid fill">
          <a:extLst>
            <a:ext uri="{FF2B5EF4-FFF2-40B4-BE49-F238E27FC236}">
              <a16:creationId xmlns:a16="http://schemas.microsoft.com/office/drawing/2014/main" id="{C7D4890C-4A20-4D82-B7EB-6D3611AC98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91890" y="3019258"/>
          <a:ext cx="252000" cy="253270"/>
        </a:xfrm>
        <a:prstGeom prst="rect">
          <a:avLst/>
        </a:prstGeom>
      </xdr:spPr>
    </xdr:pic>
    <xdr:clientData/>
  </xdr:twoCellAnchor>
  <xdr:twoCellAnchor editAs="oneCell">
    <xdr:from>
      <xdr:col>1</xdr:col>
      <xdr:colOff>93440</xdr:colOff>
      <xdr:row>17</xdr:row>
      <xdr:rowOff>172720</xdr:rowOff>
    </xdr:from>
    <xdr:to>
      <xdr:col>1</xdr:col>
      <xdr:colOff>345440</xdr:colOff>
      <xdr:row>19</xdr:row>
      <xdr:rowOff>58960</xdr:rowOff>
    </xdr:to>
    <xdr:pic>
      <xdr:nvPicPr>
        <xdr:cNvPr id="19" name="Graphic 18" descr="List with solid fill">
          <a:extLst>
            <a:ext uri="{FF2B5EF4-FFF2-40B4-BE49-F238E27FC236}">
              <a16:creationId xmlns:a16="http://schemas.microsoft.com/office/drawing/2014/main" id="{5B55533F-AD26-4843-96F0-5295C5364E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91890" y="3303270"/>
          <a:ext cx="252000" cy="254540"/>
        </a:xfrm>
        <a:prstGeom prst="rect">
          <a:avLst/>
        </a:prstGeom>
      </xdr:spPr>
    </xdr:pic>
    <xdr:clientData/>
  </xdr:twoCellAnchor>
  <xdr:twoCellAnchor editAs="absolute">
    <xdr:from>
      <xdr:col>2</xdr:col>
      <xdr:colOff>223520</xdr:colOff>
      <xdr:row>1</xdr:row>
      <xdr:rowOff>5080</xdr:rowOff>
    </xdr:from>
    <xdr:to>
      <xdr:col>10</xdr:col>
      <xdr:colOff>426720</xdr:colOff>
      <xdr:row>3</xdr:row>
      <xdr:rowOff>101600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F38CC30A-73F6-41D8-ACA0-B385ABB19C6B}"/>
            </a:ext>
          </a:extLst>
        </xdr:cNvPr>
        <xdr:cNvSpPr/>
      </xdr:nvSpPr>
      <xdr:spPr>
        <a:xfrm>
          <a:off x="2382520" y="189230"/>
          <a:ext cx="6502400" cy="464820"/>
        </a:xfrm>
        <a:prstGeom prst="rect">
          <a:avLst/>
        </a:prstGeom>
        <a:solidFill>
          <a:schemeClr val="bg1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2800" b="1">
              <a:solidFill>
                <a:sysClr val="windowText" lastClr="000000"/>
              </a:solidFill>
            </a:rPr>
            <a:t>    Products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670560</xdr:colOff>
      <xdr:row>1</xdr:row>
      <xdr:rowOff>36831</xdr:rowOff>
    </xdr:from>
    <xdr:to>
      <xdr:col>1</xdr:col>
      <xdr:colOff>1148080</xdr:colOff>
      <xdr:row>3</xdr:row>
      <xdr:rowOff>116841</xdr:rowOff>
    </xdr:to>
    <xdr:pic>
      <xdr:nvPicPr>
        <xdr:cNvPr id="2" name="Graphic 1" descr="Checklist with solid fill">
          <a:extLst>
            <a:ext uri="{FF2B5EF4-FFF2-40B4-BE49-F238E27FC236}">
              <a16:creationId xmlns:a16="http://schemas.microsoft.com/office/drawing/2014/main" id="{07E94DC6-B8B1-4CC3-BDD0-2F67F5463D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69010" y="220981"/>
          <a:ext cx="477520" cy="448310"/>
        </a:xfrm>
        <a:prstGeom prst="rect">
          <a:avLst/>
        </a:prstGeom>
      </xdr:spPr>
    </xdr:pic>
    <xdr:clientData/>
  </xdr:twoCellAnchor>
  <xdr:twoCellAnchor>
    <xdr:from>
      <xdr:col>1</xdr:col>
      <xdr:colOff>25400</xdr:colOff>
      <xdr:row>3</xdr:row>
      <xdr:rowOff>29210</xdr:rowOff>
    </xdr:from>
    <xdr:to>
      <xdr:col>1</xdr:col>
      <xdr:colOff>1798320</xdr:colOff>
      <xdr:row>6</xdr:row>
      <xdr:rowOff>35560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B62E1421-CF85-45BF-9F18-5EC0037074F8}"/>
            </a:ext>
          </a:extLst>
        </xdr:cNvPr>
        <xdr:cNvSpPr/>
      </xdr:nvSpPr>
      <xdr:spPr>
        <a:xfrm>
          <a:off x="323850" y="581660"/>
          <a:ext cx="1772920" cy="5588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400" b="1">
              <a:solidFill>
                <a:schemeClr val="tx1"/>
              </a:solidFill>
            </a:rPr>
            <a:t>Inventory</a:t>
          </a:r>
          <a:r>
            <a:rPr lang="en-IN" sz="1400" b="1" baseline="0">
              <a:solidFill>
                <a:schemeClr val="tx1"/>
              </a:solidFill>
            </a:rPr>
            <a:t> Management System</a:t>
          </a:r>
          <a:endParaRPr lang="en-IN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391160</xdr:colOff>
      <xdr:row>6</xdr:row>
      <xdr:rowOff>156210</xdr:rowOff>
    </xdr:from>
    <xdr:to>
      <xdr:col>1</xdr:col>
      <xdr:colOff>1854200</xdr:colOff>
      <xdr:row>8</xdr:row>
      <xdr:rowOff>91440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6D8B90C-EA12-449A-A05E-AB084DCEC135}"/>
            </a:ext>
          </a:extLst>
        </xdr:cNvPr>
        <xdr:cNvSpPr/>
      </xdr:nvSpPr>
      <xdr:spPr>
        <a:xfrm>
          <a:off x="689610" y="1261110"/>
          <a:ext cx="1463040" cy="30353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0" baseline="0">
              <a:solidFill>
                <a:schemeClr val="tx1">
                  <a:lumMod val="50000"/>
                  <a:lumOff val="50000"/>
                </a:schemeClr>
              </a:solidFill>
            </a:rPr>
            <a:t>Dashboard</a:t>
          </a:r>
          <a:endParaRPr lang="en-IN" sz="1400" b="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391160</xdr:colOff>
      <xdr:row>8</xdr:row>
      <xdr:rowOff>78559</xdr:rowOff>
    </xdr:from>
    <xdr:to>
      <xdr:col>1</xdr:col>
      <xdr:colOff>1854200</xdr:colOff>
      <xdr:row>10</xdr:row>
      <xdr:rowOff>13789</xdr:rowOff>
    </xdr:to>
    <xdr:sp macro="" textlink="">
      <xdr:nvSpPr>
        <xdr:cNvPr id="5" name="Rectangle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D5DDD06-5FDF-440E-BFC6-70F8936A598E}"/>
            </a:ext>
          </a:extLst>
        </xdr:cNvPr>
        <xdr:cNvSpPr/>
      </xdr:nvSpPr>
      <xdr:spPr>
        <a:xfrm>
          <a:off x="689610" y="1551759"/>
          <a:ext cx="1463040" cy="30353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0" baseline="0">
              <a:solidFill>
                <a:schemeClr val="tx1">
                  <a:lumMod val="50000"/>
                  <a:lumOff val="50000"/>
                </a:schemeClr>
              </a:solidFill>
            </a:rPr>
            <a:t>Customers</a:t>
          </a:r>
          <a:endParaRPr lang="en-IN" sz="1400" b="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391160</xdr:colOff>
      <xdr:row>10</xdr:row>
      <xdr:rowOff>908</xdr:rowOff>
    </xdr:from>
    <xdr:to>
      <xdr:col>1</xdr:col>
      <xdr:colOff>1854200</xdr:colOff>
      <xdr:row>11</xdr:row>
      <xdr:rowOff>119018</xdr:rowOff>
    </xdr:to>
    <xdr:sp macro="" textlink="">
      <xdr:nvSpPr>
        <xdr:cNvPr id="6" name="Rectangle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A9B1823-12A2-4D61-8CFA-2D12236B856D}"/>
            </a:ext>
          </a:extLst>
        </xdr:cNvPr>
        <xdr:cNvSpPr/>
      </xdr:nvSpPr>
      <xdr:spPr>
        <a:xfrm>
          <a:off x="689610" y="1842408"/>
          <a:ext cx="1463040" cy="3022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0" baseline="0">
              <a:solidFill>
                <a:schemeClr val="tx1">
                  <a:lumMod val="50000"/>
                  <a:lumOff val="50000"/>
                </a:schemeClr>
              </a:solidFill>
            </a:rPr>
            <a:t>Products</a:t>
          </a:r>
          <a:endParaRPr lang="en-IN" sz="1400" b="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391160</xdr:colOff>
      <xdr:row>11</xdr:row>
      <xdr:rowOff>106137</xdr:rowOff>
    </xdr:from>
    <xdr:to>
      <xdr:col>1</xdr:col>
      <xdr:colOff>1854200</xdr:colOff>
      <xdr:row>13</xdr:row>
      <xdr:rowOff>41367</xdr:rowOff>
    </xdr:to>
    <xdr:sp macro="" textlink="">
      <xdr:nvSpPr>
        <xdr:cNvPr id="7" name="Rectangle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55324EF4-31DF-4CFC-B6B5-62E84413C11A}"/>
            </a:ext>
          </a:extLst>
        </xdr:cNvPr>
        <xdr:cNvSpPr/>
      </xdr:nvSpPr>
      <xdr:spPr>
        <a:xfrm>
          <a:off x="689610" y="2131787"/>
          <a:ext cx="1463040" cy="30353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baseline="0">
              <a:solidFill>
                <a:sysClr val="windowText" lastClr="000000"/>
              </a:solidFill>
            </a:rPr>
            <a:t>Vendors</a:t>
          </a:r>
          <a:endParaRPr lang="en-IN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391160</xdr:colOff>
      <xdr:row>14</xdr:row>
      <xdr:rowOff>133715</xdr:rowOff>
    </xdr:from>
    <xdr:to>
      <xdr:col>1</xdr:col>
      <xdr:colOff>1854200</xdr:colOff>
      <xdr:row>16</xdr:row>
      <xdr:rowOff>68945</xdr:rowOff>
    </xdr:to>
    <xdr:sp macro="" textlink="">
      <xdr:nvSpPr>
        <xdr:cNvPr id="8" name="Rectangle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1A56BA9-B543-4CB0-9165-69D0926ED875}"/>
            </a:ext>
          </a:extLst>
        </xdr:cNvPr>
        <xdr:cNvSpPr/>
      </xdr:nvSpPr>
      <xdr:spPr>
        <a:xfrm>
          <a:off x="689610" y="2711815"/>
          <a:ext cx="1463040" cy="30353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0" baseline="0">
              <a:solidFill>
                <a:schemeClr val="tx1">
                  <a:lumMod val="50000"/>
                  <a:lumOff val="50000"/>
                </a:schemeClr>
              </a:solidFill>
            </a:rPr>
            <a:t>Purchase</a:t>
          </a:r>
          <a:endParaRPr lang="en-IN" sz="1400" b="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391160</xdr:colOff>
      <xdr:row>13</xdr:row>
      <xdr:rowOff>28486</xdr:rowOff>
    </xdr:from>
    <xdr:to>
      <xdr:col>1</xdr:col>
      <xdr:colOff>1854200</xdr:colOff>
      <xdr:row>14</xdr:row>
      <xdr:rowOff>146596</xdr:rowOff>
    </xdr:to>
    <xdr:sp macro="" textlink="">
      <xdr:nvSpPr>
        <xdr:cNvPr id="9" name="Rectangle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9508B12B-4458-4B99-BAAB-F109CD06539A}"/>
            </a:ext>
          </a:extLst>
        </xdr:cNvPr>
        <xdr:cNvSpPr/>
      </xdr:nvSpPr>
      <xdr:spPr>
        <a:xfrm>
          <a:off x="689610" y="2422436"/>
          <a:ext cx="1463040" cy="3022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0" baseline="0">
              <a:solidFill>
                <a:schemeClr val="tx1">
                  <a:lumMod val="50000"/>
                  <a:lumOff val="50000"/>
                </a:schemeClr>
              </a:solidFill>
            </a:rPr>
            <a:t>New Entry</a:t>
          </a:r>
          <a:endParaRPr lang="en-IN" sz="1400" b="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391160</xdr:colOff>
      <xdr:row>16</xdr:row>
      <xdr:rowOff>56064</xdr:rowOff>
    </xdr:from>
    <xdr:to>
      <xdr:col>1</xdr:col>
      <xdr:colOff>1854200</xdr:colOff>
      <xdr:row>17</xdr:row>
      <xdr:rowOff>174174</xdr:rowOff>
    </xdr:to>
    <xdr:sp macro="" textlink="">
      <xdr:nvSpPr>
        <xdr:cNvPr id="10" name="Rectangle 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808ACB81-A6C6-4273-B8FD-D0DD0E7FF610}"/>
            </a:ext>
          </a:extLst>
        </xdr:cNvPr>
        <xdr:cNvSpPr/>
      </xdr:nvSpPr>
      <xdr:spPr>
        <a:xfrm>
          <a:off x="689610" y="3002464"/>
          <a:ext cx="1463040" cy="3022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0" baseline="0">
              <a:solidFill>
                <a:schemeClr val="tx1">
                  <a:lumMod val="50000"/>
                  <a:lumOff val="50000"/>
                </a:schemeClr>
              </a:solidFill>
            </a:rPr>
            <a:t>Sales</a:t>
          </a:r>
          <a:endParaRPr lang="en-IN" sz="1400" b="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391160</xdr:colOff>
      <xdr:row>17</xdr:row>
      <xdr:rowOff>161290</xdr:rowOff>
    </xdr:from>
    <xdr:to>
      <xdr:col>1</xdr:col>
      <xdr:colOff>1854200</xdr:colOff>
      <xdr:row>19</xdr:row>
      <xdr:rowOff>96520</xdr:rowOff>
    </xdr:to>
    <xdr:sp macro="" textlink="">
      <xdr:nvSpPr>
        <xdr:cNvPr id="11" name="Rectangle 1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5DA38281-41B0-4436-AE31-187BEF2C422E}"/>
            </a:ext>
          </a:extLst>
        </xdr:cNvPr>
        <xdr:cNvSpPr/>
      </xdr:nvSpPr>
      <xdr:spPr>
        <a:xfrm>
          <a:off x="689610" y="3291840"/>
          <a:ext cx="1463040" cy="30353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0">
              <a:solidFill>
                <a:schemeClr val="tx1">
                  <a:lumMod val="50000"/>
                  <a:lumOff val="50000"/>
                </a:schemeClr>
              </a:solidFill>
            </a:rPr>
            <a:t>Inventory</a:t>
          </a:r>
        </a:p>
      </xdr:txBody>
    </xdr:sp>
    <xdr:clientData/>
  </xdr:twoCellAnchor>
  <xdr:twoCellAnchor editAs="oneCell">
    <xdr:from>
      <xdr:col>1</xdr:col>
      <xdr:colOff>73171</xdr:colOff>
      <xdr:row>6</xdr:row>
      <xdr:rowOff>148297</xdr:rowOff>
    </xdr:from>
    <xdr:to>
      <xdr:col>1</xdr:col>
      <xdr:colOff>357651</xdr:colOff>
      <xdr:row>8</xdr:row>
      <xdr:rowOff>67017</xdr:rowOff>
    </xdr:to>
    <xdr:pic>
      <xdr:nvPicPr>
        <xdr:cNvPr id="12" name="Graphic 11" descr="Gauge with solid fill">
          <a:extLst>
            <a:ext uri="{FF2B5EF4-FFF2-40B4-BE49-F238E27FC236}">
              <a16:creationId xmlns:a16="http://schemas.microsoft.com/office/drawing/2014/main" id="{94FDC391-978C-4043-A816-E15B3DFCA0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71621" y="1253197"/>
          <a:ext cx="284480" cy="287020"/>
        </a:xfrm>
        <a:prstGeom prst="rect">
          <a:avLst/>
        </a:prstGeom>
      </xdr:spPr>
    </xdr:pic>
    <xdr:clientData/>
  </xdr:twoCellAnchor>
  <xdr:twoCellAnchor editAs="oneCell">
    <xdr:from>
      <xdr:col>1</xdr:col>
      <xdr:colOff>93440</xdr:colOff>
      <xdr:row>8</xdr:row>
      <xdr:rowOff>122183</xdr:rowOff>
    </xdr:from>
    <xdr:to>
      <xdr:col>1</xdr:col>
      <xdr:colOff>345440</xdr:colOff>
      <xdr:row>10</xdr:row>
      <xdr:rowOff>8423</xdr:rowOff>
    </xdr:to>
    <xdr:pic>
      <xdr:nvPicPr>
        <xdr:cNvPr id="13" name="Graphic 12" descr="Target Audience with solid fill">
          <a:extLst>
            <a:ext uri="{FF2B5EF4-FFF2-40B4-BE49-F238E27FC236}">
              <a16:creationId xmlns:a16="http://schemas.microsoft.com/office/drawing/2014/main" id="{CDDB9AC4-2C21-4CE5-9627-3E56E4E65E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91890" y="1595383"/>
          <a:ext cx="252000" cy="254540"/>
        </a:xfrm>
        <a:prstGeom prst="rect">
          <a:avLst/>
        </a:prstGeom>
      </xdr:spPr>
    </xdr:pic>
    <xdr:clientData/>
  </xdr:twoCellAnchor>
  <xdr:twoCellAnchor editAs="oneCell">
    <xdr:from>
      <xdr:col>1</xdr:col>
      <xdr:colOff>93440</xdr:colOff>
      <xdr:row>10</xdr:row>
      <xdr:rowOff>39166</xdr:rowOff>
    </xdr:from>
    <xdr:to>
      <xdr:col>1</xdr:col>
      <xdr:colOff>345440</xdr:colOff>
      <xdr:row>11</xdr:row>
      <xdr:rowOff>108286</xdr:rowOff>
    </xdr:to>
    <xdr:pic>
      <xdr:nvPicPr>
        <xdr:cNvPr id="14" name="Graphic 13" descr="Shopping cart with solid fill">
          <a:extLst>
            <a:ext uri="{FF2B5EF4-FFF2-40B4-BE49-F238E27FC236}">
              <a16:creationId xmlns:a16="http://schemas.microsoft.com/office/drawing/2014/main" id="{1B92C428-6385-414A-B03D-645139AFA7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91890" y="1880666"/>
          <a:ext cx="252000" cy="253270"/>
        </a:xfrm>
        <a:prstGeom prst="rect">
          <a:avLst/>
        </a:prstGeom>
      </xdr:spPr>
    </xdr:pic>
    <xdr:clientData/>
  </xdr:twoCellAnchor>
  <xdr:twoCellAnchor editAs="oneCell">
    <xdr:from>
      <xdr:col>1</xdr:col>
      <xdr:colOff>93440</xdr:colOff>
      <xdr:row>11</xdr:row>
      <xdr:rowOff>139029</xdr:rowOff>
    </xdr:from>
    <xdr:to>
      <xdr:col>1</xdr:col>
      <xdr:colOff>345440</xdr:colOff>
      <xdr:row>13</xdr:row>
      <xdr:rowOff>25269</xdr:rowOff>
    </xdr:to>
    <xdr:pic>
      <xdr:nvPicPr>
        <xdr:cNvPr id="15" name="Graphic 14" descr="Male profile with solid fill">
          <a:extLst>
            <a:ext uri="{FF2B5EF4-FFF2-40B4-BE49-F238E27FC236}">
              <a16:creationId xmlns:a16="http://schemas.microsoft.com/office/drawing/2014/main" id="{46983200-1908-47A1-9F0D-F0113AA0E7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91890" y="2164679"/>
          <a:ext cx="252000" cy="254540"/>
        </a:xfrm>
        <a:prstGeom prst="rect">
          <a:avLst/>
        </a:prstGeom>
      </xdr:spPr>
    </xdr:pic>
    <xdr:clientData/>
  </xdr:twoCellAnchor>
  <xdr:twoCellAnchor editAs="oneCell">
    <xdr:from>
      <xdr:col>1</xdr:col>
      <xdr:colOff>93440</xdr:colOff>
      <xdr:row>14</xdr:row>
      <xdr:rowOff>155875</xdr:rowOff>
    </xdr:from>
    <xdr:to>
      <xdr:col>1</xdr:col>
      <xdr:colOff>345440</xdr:colOff>
      <xdr:row>16</xdr:row>
      <xdr:rowOff>42115</xdr:rowOff>
    </xdr:to>
    <xdr:pic>
      <xdr:nvPicPr>
        <xdr:cNvPr id="16" name="Graphic 15" descr="Document with solid fill">
          <a:extLst>
            <a:ext uri="{FF2B5EF4-FFF2-40B4-BE49-F238E27FC236}">
              <a16:creationId xmlns:a16="http://schemas.microsoft.com/office/drawing/2014/main" id="{72449797-0B11-4DAB-A6D7-5BE16FFF7E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91890" y="2733975"/>
          <a:ext cx="252000" cy="254540"/>
        </a:xfrm>
        <a:prstGeom prst="rect">
          <a:avLst/>
        </a:prstGeom>
      </xdr:spPr>
    </xdr:pic>
    <xdr:clientData/>
  </xdr:twoCellAnchor>
  <xdr:twoCellAnchor editAs="oneCell">
    <xdr:from>
      <xdr:col>1</xdr:col>
      <xdr:colOff>93440</xdr:colOff>
      <xdr:row>13</xdr:row>
      <xdr:rowOff>56012</xdr:rowOff>
    </xdr:from>
    <xdr:to>
      <xdr:col>1</xdr:col>
      <xdr:colOff>345440</xdr:colOff>
      <xdr:row>14</xdr:row>
      <xdr:rowOff>125132</xdr:rowOff>
    </xdr:to>
    <xdr:pic>
      <xdr:nvPicPr>
        <xdr:cNvPr id="17" name="Graphic 16" descr="Books with solid fill">
          <a:extLst>
            <a:ext uri="{FF2B5EF4-FFF2-40B4-BE49-F238E27FC236}">
              <a16:creationId xmlns:a16="http://schemas.microsoft.com/office/drawing/2014/main" id="{6E565B94-A74C-484D-A7CB-DD2B63CD7A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91890" y="2449962"/>
          <a:ext cx="252000" cy="253270"/>
        </a:xfrm>
        <a:prstGeom prst="rect">
          <a:avLst/>
        </a:prstGeom>
      </xdr:spPr>
    </xdr:pic>
    <xdr:clientData/>
  </xdr:twoCellAnchor>
  <xdr:twoCellAnchor editAs="oneCell">
    <xdr:from>
      <xdr:col>1</xdr:col>
      <xdr:colOff>93440</xdr:colOff>
      <xdr:row>16</xdr:row>
      <xdr:rowOff>72858</xdr:rowOff>
    </xdr:from>
    <xdr:to>
      <xdr:col>1</xdr:col>
      <xdr:colOff>345440</xdr:colOff>
      <xdr:row>17</xdr:row>
      <xdr:rowOff>141978</xdr:rowOff>
    </xdr:to>
    <xdr:pic>
      <xdr:nvPicPr>
        <xdr:cNvPr id="18" name="Graphic 17" descr="Open book with solid fill">
          <a:extLst>
            <a:ext uri="{FF2B5EF4-FFF2-40B4-BE49-F238E27FC236}">
              <a16:creationId xmlns:a16="http://schemas.microsoft.com/office/drawing/2014/main" id="{73D7C540-37C7-48E4-854A-9948EA1469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91890" y="3019258"/>
          <a:ext cx="252000" cy="253270"/>
        </a:xfrm>
        <a:prstGeom prst="rect">
          <a:avLst/>
        </a:prstGeom>
      </xdr:spPr>
    </xdr:pic>
    <xdr:clientData/>
  </xdr:twoCellAnchor>
  <xdr:twoCellAnchor editAs="oneCell">
    <xdr:from>
      <xdr:col>1</xdr:col>
      <xdr:colOff>93440</xdr:colOff>
      <xdr:row>17</xdr:row>
      <xdr:rowOff>172720</xdr:rowOff>
    </xdr:from>
    <xdr:to>
      <xdr:col>1</xdr:col>
      <xdr:colOff>345440</xdr:colOff>
      <xdr:row>19</xdr:row>
      <xdr:rowOff>58960</xdr:rowOff>
    </xdr:to>
    <xdr:pic>
      <xdr:nvPicPr>
        <xdr:cNvPr id="19" name="Graphic 18" descr="List with solid fill">
          <a:extLst>
            <a:ext uri="{FF2B5EF4-FFF2-40B4-BE49-F238E27FC236}">
              <a16:creationId xmlns:a16="http://schemas.microsoft.com/office/drawing/2014/main" id="{6539429A-5829-4B6B-B7EA-06416EEFA5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91890" y="3303270"/>
          <a:ext cx="252000" cy="254540"/>
        </a:xfrm>
        <a:prstGeom prst="rect">
          <a:avLst/>
        </a:prstGeom>
      </xdr:spPr>
    </xdr:pic>
    <xdr:clientData/>
  </xdr:twoCellAnchor>
  <xdr:twoCellAnchor editAs="absolute">
    <xdr:from>
      <xdr:col>3</xdr:col>
      <xdr:colOff>1270</xdr:colOff>
      <xdr:row>1</xdr:row>
      <xdr:rowOff>5080</xdr:rowOff>
    </xdr:from>
    <xdr:to>
      <xdr:col>10</xdr:col>
      <xdr:colOff>306070</xdr:colOff>
      <xdr:row>3</xdr:row>
      <xdr:rowOff>101600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3B5B4AFD-5401-495F-A3C2-6469E7A90F8C}"/>
            </a:ext>
          </a:extLst>
        </xdr:cNvPr>
        <xdr:cNvSpPr/>
      </xdr:nvSpPr>
      <xdr:spPr>
        <a:xfrm>
          <a:off x="2382520" y="189230"/>
          <a:ext cx="6502400" cy="464820"/>
        </a:xfrm>
        <a:prstGeom prst="rect">
          <a:avLst/>
        </a:prstGeom>
        <a:solidFill>
          <a:schemeClr val="bg1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2800" b="1">
              <a:solidFill>
                <a:sysClr val="windowText" lastClr="000000"/>
              </a:solidFill>
            </a:rPr>
            <a:t>    Vendors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670560</xdr:colOff>
      <xdr:row>1</xdr:row>
      <xdr:rowOff>36831</xdr:rowOff>
    </xdr:from>
    <xdr:to>
      <xdr:col>1</xdr:col>
      <xdr:colOff>1148080</xdr:colOff>
      <xdr:row>3</xdr:row>
      <xdr:rowOff>116841</xdr:rowOff>
    </xdr:to>
    <xdr:pic>
      <xdr:nvPicPr>
        <xdr:cNvPr id="2" name="Graphic 1" descr="Checklist with solid fill">
          <a:extLst>
            <a:ext uri="{FF2B5EF4-FFF2-40B4-BE49-F238E27FC236}">
              <a16:creationId xmlns:a16="http://schemas.microsoft.com/office/drawing/2014/main" id="{A1962BC6-64E3-40BA-ABD7-BA1EACD9CC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69010" y="220981"/>
          <a:ext cx="477520" cy="448310"/>
        </a:xfrm>
        <a:prstGeom prst="rect">
          <a:avLst/>
        </a:prstGeom>
      </xdr:spPr>
    </xdr:pic>
    <xdr:clientData/>
  </xdr:twoCellAnchor>
  <xdr:twoCellAnchor editAs="absolute">
    <xdr:from>
      <xdr:col>1</xdr:col>
      <xdr:colOff>25400</xdr:colOff>
      <xdr:row>3</xdr:row>
      <xdr:rowOff>29210</xdr:rowOff>
    </xdr:from>
    <xdr:to>
      <xdr:col>1</xdr:col>
      <xdr:colOff>1798320</xdr:colOff>
      <xdr:row>6</xdr:row>
      <xdr:rowOff>35560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558B9E8-051C-4911-8F5A-3B449D8C982E}"/>
            </a:ext>
          </a:extLst>
        </xdr:cNvPr>
        <xdr:cNvSpPr/>
      </xdr:nvSpPr>
      <xdr:spPr>
        <a:xfrm>
          <a:off x="323850" y="581660"/>
          <a:ext cx="1772920" cy="5588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400" b="1">
              <a:solidFill>
                <a:schemeClr val="tx1"/>
              </a:solidFill>
            </a:rPr>
            <a:t>Inventory</a:t>
          </a:r>
          <a:r>
            <a:rPr lang="en-IN" sz="1400" b="1" baseline="0">
              <a:solidFill>
                <a:schemeClr val="tx1"/>
              </a:solidFill>
            </a:rPr>
            <a:t> Management System</a:t>
          </a:r>
          <a:endParaRPr lang="en-IN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391160</xdr:colOff>
      <xdr:row>6</xdr:row>
      <xdr:rowOff>156210</xdr:rowOff>
    </xdr:from>
    <xdr:to>
      <xdr:col>1</xdr:col>
      <xdr:colOff>1854200</xdr:colOff>
      <xdr:row>8</xdr:row>
      <xdr:rowOff>91440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3D2EA29-C281-47A6-9224-04217D113C6A}"/>
            </a:ext>
          </a:extLst>
        </xdr:cNvPr>
        <xdr:cNvSpPr/>
      </xdr:nvSpPr>
      <xdr:spPr>
        <a:xfrm>
          <a:off x="689610" y="1261110"/>
          <a:ext cx="1463040" cy="30353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0" baseline="0">
              <a:solidFill>
                <a:schemeClr val="tx1">
                  <a:lumMod val="50000"/>
                  <a:lumOff val="50000"/>
                </a:schemeClr>
              </a:solidFill>
            </a:rPr>
            <a:t>Dashboard</a:t>
          </a:r>
          <a:endParaRPr lang="en-IN" sz="1400" b="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391160</xdr:colOff>
      <xdr:row>8</xdr:row>
      <xdr:rowOff>78559</xdr:rowOff>
    </xdr:from>
    <xdr:to>
      <xdr:col>1</xdr:col>
      <xdr:colOff>1854200</xdr:colOff>
      <xdr:row>10</xdr:row>
      <xdr:rowOff>13789</xdr:rowOff>
    </xdr:to>
    <xdr:sp macro="" textlink="">
      <xdr:nvSpPr>
        <xdr:cNvPr id="5" name="Rectangle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437FE19-D0BA-449D-A58A-9AC0DB86242C}"/>
            </a:ext>
          </a:extLst>
        </xdr:cNvPr>
        <xdr:cNvSpPr/>
      </xdr:nvSpPr>
      <xdr:spPr>
        <a:xfrm>
          <a:off x="689610" y="1551759"/>
          <a:ext cx="1463040" cy="30353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0" baseline="0">
              <a:solidFill>
                <a:schemeClr val="tx1">
                  <a:lumMod val="50000"/>
                  <a:lumOff val="50000"/>
                </a:schemeClr>
              </a:solidFill>
            </a:rPr>
            <a:t>Customers</a:t>
          </a:r>
          <a:endParaRPr lang="en-IN" sz="1400" b="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391160</xdr:colOff>
      <xdr:row>10</xdr:row>
      <xdr:rowOff>908</xdr:rowOff>
    </xdr:from>
    <xdr:to>
      <xdr:col>1</xdr:col>
      <xdr:colOff>1854200</xdr:colOff>
      <xdr:row>11</xdr:row>
      <xdr:rowOff>119018</xdr:rowOff>
    </xdr:to>
    <xdr:sp macro="" textlink="">
      <xdr:nvSpPr>
        <xdr:cNvPr id="6" name="Rectangle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CD7AF5C-804E-4666-A1DF-CE6A7AD8FAF5}"/>
            </a:ext>
          </a:extLst>
        </xdr:cNvPr>
        <xdr:cNvSpPr/>
      </xdr:nvSpPr>
      <xdr:spPr>
        <a:xfrm>
          <a:off x="689610" y="1842408"/>
          <a:ext cx="1463040" cy="3022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0" baseline="0">
              <a:solidFill>
                <a:schemeClr val="tx1">
                  <a:lumMod val="50000"/>
                  <a:lumOff val="50000"/>
                </a:schemeClr>
              </a:solidFill>
            </a:rPr>
            <a:t>Products</a:t>
          </a:r>
          <a:endParaRPr lang="en-IN" sz="1400" b="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391160</xdr:colOff>
      <xdr:row>11</xdr:row>
      <xdr:rowOff>106137</xdr:rowOff>
    </xdr:from>
    <xdr:to>
      <xdr:col>1</xdr:col>
      <xdr:colOff>1854200</xdr:colOff>
      <xdr:row>13</xdr:row>
      <xdr:rowOff>41367</xdr:rowOff>
    </xdr:to>
    <xdr:sp macro="" textlink="">
      <xdr:nvSpPr>
        <xdr:cNvPr id="7" name="Rectangle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D1058C5C-B433-487C-BA32-0DCA65A03B0E}"/>
            </a:ext>
          </a:extLst>
        </xdr:cNvPr>
        <xdr:cNvSpPr/>
      </xdr:nvSpPr>
      <xdr:spPr>
        <a:xfrm>
          <a:off x="689610" y="2131787"/>
          <a:ext cx="1463040" cy="30353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0" baseline="0">
              <a:solidFill>
                <a:schemeClr val="tx1">
                  <a:lumMod val="50000"/>
                  <a:lumOff val="50000"/>
                </a:schemeClr>
              </a:solidFill>
            </a:rPr>
            <a:t>Vendors</a:t>
          </a:r>
          <a:endParaRPr lang="en-IN" sz="1400" b="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391160</xdr:colOff>
      <xdr:row>14</xdr:row>
      <xdr:rowOff>133715</xdr:rowOff>
    </xdr:from>
    <xdr:to>
      <xdr:col>1</xdr:col>
      <xdr:colOff>1854200</xdr:colOff>
      <xdr:row>16</xdr:row>
      <xdr:rowOff>68945</xdr:rowOff>
    </xdr:to>
    <xdr:sp macro="" textlink="">
      <xdr:nvSpPr>
        <xdr:cNvPr id="8" name="Rectangle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62FDEDAF-B8DF-4B10-A30C-D91BEF90D116}"/>
            </a:ext>
          </a:extLst>
        </xdr:cNvPr>
        <xdr:cNvSpPr/>
      </xdr:nvSpPr>
      <xdr:spPr>
        <a:xfrm>
          <a:off x="689610" y="2711815"/>
          <a:ext cx="1463040" cy="30353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0" baseline="0">
              <a:solidFill>
                <a:schemeClr val="tx1">
                  <a:lumMod val="50000"/>
                  <a:lumOff val="50000"/>
                </a:schemeClr>
              </a:solidFill>
            </a:rPr>
            <a:t>Purchase</a:t>
          </a:r>
          <a:endParaRPr lang="en-IN" sz="1400" b="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391160</xdr:colOff>
      <xdr:row>13</xdr:row>
      <xdr:rowOff>28486</xdr:rowOff>
    </xdr:from>
    <xdr:to>
      <xdr:col>1</xdr:col>
      <xdr:colOff>1854200</xdr:colOff>
      <xdr:row>14</xdr:row>
      <xdr:rowOff>146596</xdr:rowOff>
    </xdr:to>
    <xdr:sp macro="" textlink="">
      <xdr:nvSpPr>
        <xdr:cNvPr id="9" name="Rectangle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DC956644-58AA-44C9-A520-1A98F4BA5C68}"/>
            </a:ext>
          </a:extLst>
        </xdr:cNvPr>
        <xdr:cNvSpPr/>
      </xdr:nvSpPr>
      <xdr:spPr>
        <a:xfrm>
          <a:off x="689610" y="2422436"/>
          <a:ext cx="1463040" cy="3022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baseline="0">
              <a:solidFill>
                <a:schemeClr val="tx1"/>
              </a:solidFill>
            </a:rPr>
            <a:t>New Entry</a:t>
          </a:r>
          <a:endParaRPr lang="en-IN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391160</xdr:colOff>
      <xdr:row>16</xdr:row>
      <xdr:rowOff>56064</xdr:rowOff>
    </xdr:from>
    <xdr:to>
      <xdr:col>1</xdr:col>
      <xdr:colOff>1854200</xdr:colOff>
      <xdr:row>17</xdr:row>
      <xdr:rowOff>174174</xdr:rowOff>
    </xdr:to>
    <xdr:sp macro="" textlink="">
      <xdr:nvSpPr>
        <xdr:cNvPr id="10" name="Rectangle 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50040C3-7FC3-4C30-B6A9-0E17B7A3545F}"/>
            </a:ext>
          </a:extLst>
        </xdr:cNvPr>
        <xdr:cNvSpPr/>
      </xdr:nvSpPr>
      <xdr:spPr>
        <a:xfrm>
          <a:off x="689610" y="3002464"/>
          <a:ext cx="1463040" cy="3022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0" baseline="0">
              <a:solidFill>
                <a:schemeClr val="tx1">
                  <a:lumMod val="50000"/>
                  <a:lumOff val="50000"/>
                </a:schemeClr>
              </a:solidFill>
            </a:rPr>
            <a:t>Sales</a:t>
          </a:r>
          <a:endParaRPr lang="en-IN" sz="1400" b="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391160</xdr:colOff>
      <xdr:row>17</xdr:row>
      <xdr:rowOff>161290</xdr:rowOff>
    </xdr:from>
    <xdr:to>
      <xdr:col>1</xdr:col>
      <xdr:colOff>1854200</xdr:colOff>
      <xdr:row>19</xdr:row>
      <xdr:rowOff>96520</xdr:rowOff>
    </xdr:to>
    <xdr:sp macro="" textlink="">
      <xdr:nvSpPr>
        <xdr:cNvPr id="11" name="Rectangle 1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91AB0BC1-BBE4-4D1F-A0F5-71CEB89EC12A}"/>
            </a:ext>
          </a:extLst>
        </xdr:cNvPr>
        <xdr:cNvSpPr/>
      </xdr:nvSpPr>
      <xdr:spPr>
        <a:xfrm>
          <a:off x="689610" y="3291840"/>
          <a:ext cx="1463040" cy="30353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0">
              <a:solidFill>
                <a:schemeClr val="tx1">
                  <a:lumMod val="50000"/>
                  <a:lumOff val="50000"/>
                </a:schemeClr>
              </a:solidFill>
            </a:rPr>
            <a:t>Inventory</a:t>
          </a:r>
        </a:p>
      </xdr:txBody>
    </xdr:sp>
    <xdr:clientData/>
  </xdr:twoCellAnchor>
  <xdr:twoCellAnchor editAs="oneCell">
    <xdr:from>
      <xdr:col>1</xdr:col>
      <xdr:colOff>73171</xdr:colOff>
      <xdr:row>6</xdr:row>
      <xdr:rowOff>148297</xdr:rowOff>
    </xdr:from>
    <xdr:to>
      <xdr:col>1</xdr:col>
      <xdr:colOff>357651</xdr:colOff>
      <xdr:row>8</xdr:row>
      <xdr:rowOff>67017</xdr:rowOff>
    </xdr:to>
    <xdr:pic>
      <xdr:nvPicPr>
        <xdr:cNvPr id="12" name="Graphic 11" descr="Gauge with solid fill">
          <a:extLst>
            <a:ext uri="{FF2B5EF4-FFF2-40B4-BE49-F238E27FC236}">
              <a16:creationId xmlns:a16="http://schemas.microsoft.com/office/drawing/2014/main" id="{892F5041-5B49-40C6-86F0-F0BF59800C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71621" y="1253197"/>
          <a:ext cx="284480" cy="287020"/>
        </a:xfrm>
        <a:prstGeom prst="rect">
          <a:avLst/>
        </a:prstGeom>
      </xdr:spPr>
    </xdr:pic>
    <xdr:clientData/>
  </xdr:twoCellAnchor>
  <xdr:twoCellAnchor editAs="oneCell">
    <xdr:from>
      <xdr:col>1</xdr:col>
      <xdr:colOff>93440</xdr:colOff>
      <xdr:row>8</xdr:row>
      <xdr:rowOff>122183</xdr:rowOff>
    </xdr:from>
    <xdr:to>
      <xdr:col>1</xdr:col>
      <xdr:colOff>345440</xdr:colOff>
      <xdr:row>10</xdr:row>
      <xdr:rowOff>8423</xdr:rowOff>
    </xdr:to>
    <xdr:pic>
      <xdr:nvPicPr>
        <xdr:cNvPr id="13" name="Graphic 12" descr="Target Audience with solid fill">
          <a:extLst>
            <a:ext uri="{FF2B5EF4-FFF2-40B4-BE49-F238E27FC236}">
              <a16:creationId xmlns:a16="http://schemas.microsoft.com/office/drawing/2014/main" id="{C01F13C1-8CA1-4593-9280-477ED6D76D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91890" y="1595383"/>
          <a:ext cx="252000" cy="254540"/>
        </a:xfrm>
        <a:prstGeom prst="rect">
          <a:avLst/>
        </a:prstGeom>
      </xdr:spPr>
    </xdr:pic>
    <xdr:clientData/>
  </xdr:twoCellAnchor>
  <xdr:twoCellAnchor editAs="oneCell">
    <xdr:from>
      <xdr:col>1</xdr:col>
      <xdr:colOff>93440</xdr:colOff>
      <xdr:row>10</xdr:row>
      <xdr:rowOff>39166</xdr:rowOff>
    </xdr:from>
    <xdr:to>
      <xdr:col>1</xdr:col>
      <xdr:colOff>345440</xdr:colOff>
      <xdr:row>11</xdr:row>
      <xdr:rowOff>108286</xdr:rowOff>
    </xdr:to>
    <xdr:pic>
      <xdr:nvPicPr>
        <xdr:cNvPr id="14" name="Graphic 13" descr="Shopping cart with solid fill">
          <a:extLst>
            <a:ext uri="{FF2B5EF4-FFF2-40B4-BE49-F238E27FC236}">
              <a16:creationId xmlns:a16="http://schemas.microsoft.com/office/drawing/2014/main" id="{FFF25C5A-8D96-4E52-8F78-612DFD395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91890" y="1880666"/>
          <a:ext cx="252000" cy="253270"/>
        </a:xfrm>
        <a:prstGeom prst="rect">
          <a:avLst/>
        </a:prstGeom>
      </xdr:spPr>
    </xdr:pic>
    <xdr:clientData/>
  </xdr:twoCellAnchor>
  <xdr:twoCellAnchor editAs="oneCell">
    <xdr:from>
      <xdr:col>1</xdr:col>
      <xdr:colOff>93440</xdr:colOff>
      <xdr:row>11</xdr:row>
      <xdr:rowOff>139029</xdr:rowOff>
    </xdr:from>
    <xdr:to>
      <xdr:col>1</xdr:col>
      <xdr:colOff>345440</xdr:colOff>
      <xdr:row>13</xdr:row>
      <xdr:rowOff>25269</xdr:rowOff>
    </xdr:to>
    <xdr:pic>
      <xdr:nvPicPr>
        <xdr:cNvPr id="15" name="Graphic 14" descr="Male profile with solid fill">
          <a:extLst>
            <a:ext uri="{FF2B5EF4-FFF2-40B4-BE49-F238E27FC236}">
              <a16:creationId xmlns:a16="http://schemas.microsoft.com/office/drawing/2014/main" id="{38E9320C-7197-4395-BA35-627BDC4CF9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91890" y="2164679"/>
          <a:ext cx="252000" cy="254540"/>
        </a:xfrm>
        <a:prstGeom prst="rect">
          <a:avLst/>
        </a:prstGeom>
      </xdr:spPr>
    </xdr:pic>
    <xdr:clientData/>
  </xdr:twoCellAnchor>
  <xdr:twoCellAnchor editAs="oneCell">
    <xdr:from>
      <xdr:col>1</xdr:col>
      <xdr:colOff>93440</xdr:colOff>
      <xdr:row>14</xdr:row>
      <xdr:rowOff>155875</xdr:rowOff>
    </xdr:from>
    <xdr:to>
      <xdr:col>1</xdr:col>
      <xdr:colOff>345440</xdr:colOff>
      <xdr:row>16</xdr:row>
      <xdr:rowOff>42115</xdr:rowOff>
    </xdr:to>
    <xdr:pic>
      <xdr:nvPicPr>
        <xdr:cNvPr id="16" name="Graphic 15" descr="Document with solid fill">
          <a:extLst>
            <a:ext uri="{FF2B5EF4-FFF2-40B4-BE49-F238E27FC236}">
              <a16:creationId xmlns:a16="http://schemas.microsoft.com/office/drawing/2014/main" id="{E9B9BECC-1916-427F-9D88-A17335E528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91890" y="2733975"/>
          <a:ext cx="252000" cy="254540"/>
        </a:xfrm>
        <a:prstGeom prst="rect">
          <a:avLst/>
        </a:prstGeom>
      </xdr:spPr>
    </xdr:pic>
    <xdr:clientData/>
  </xdr:twoCellAnchor>
  <xdr:twoCellAnchor editAs="oneCell">
    <xdr:from>
      <xdr:col>1</xdr:col>
      <xdr:colOff>93440</xdr:colOff>
      <xdr:row>13</xdr:row>
      <xdr:rowOff>56012</xdr:rowOff>
    </xdr:from>
    <xdr:to>
      <xdr:col>1</xdr:col>
      <xdr:colOff>345440</xdr:colOff>
      <xdr:row>14</xdr:row>
      <xdr:rowOff>125132</xdr:rowOff>
    </xdr:to>
    <xdr:pic>
      <xdr:nvPicPr>
        <xdr:cNvPr id="17" name="Graphic 16" descr="Books with solid fill">
          <a:extLst>
            <a:ext uri="{FF2B5EF4-FFF2-40B4-BE49-F238E27FC236}">
              <a16:creationId xmlns:a16="http://schemas.microsoft.com/office/drawing/2014/main" id="{B9EFF641-2976-4D3F-845D-C438765D75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91890" y="2449962"/>
          <a:ext cx="252000" cy="253270"/>
        </a:xfrm>
        <a:prstGeom prst="rect">
          <a:avLst/>
        </a:prstGeom>
      </xdr:spPr>
    </xdr:pic>
    <xdr:clientData/>
  </xdr:twoCellAnchor>
  <xdr:twoCellAnchor editAs="oneCell">
    <xdr:from>
      <xdr:col>1</xdr:col>
      <xdr:colOff>93440</xdr:colOff>
      <xdr:row>16</xdr:row>
      <xdr:rowOff>72858</xdr:rowOff>
    </xdr:from>
    <xdr:to>
      <xdr:col>1</xdr:col>
      <xdr:colOff>345440</xdr:colOff>
      <xdr:row>17</xdr:row>
      <xdr:rowOff>141978</xdr:rowOff>
    </xdr:to>
    <xdr:pic>
      <xdr:nvPicPr>
        <xdr:cNvPr id="18" name="Graphic 17" descr="Open book with solid fill">
          <a:extLst>
            <a:ext uri="{FF2B5EF4-FFF2-40B4-BE49-F238E27FC236}">
              <a16:creationId xmlns:a16="http://schemas.microsoft.com/office/drawing/2014/main" id="{10221565-569F-4A45-A2B2-ED51013ADB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91890" y="3019258"/>
          <a:ext cx="252000" cy="253270"/>
        </a:xfrm>
        <a:prstGeom prst="rect">
          <a:avLst/>
        </a:prstGeom>
      </xdr:spPr>
    </xdr:pic>
    <xdr:clientData/>
  </xdr:twoCellAnchor>
  <xdr:twoCellAnchor editAs="oneCell">
    <xdr:from>
      <xdr:col>1</xdr:col>
      <xdr:colOff>93440</xdr:colOff>
      <xdr:row>17</xdr:row>
      <xdr:rowOff>172720</xdr:rowOff>
    </xdr:from>
    <xdr:to>
      <xdr:col>1</xdr:col>
      <xdr:colOff>345440</xdr:colOff>
      <xdr:row>19</xdr:row>
      <xdr:rowOff>58960</xdr:rowOff>
    </xdr:to>
    <xdr:pic>
      <xdr:nvPicPr>
        <xdr:cNvPr id="19" name="Graphic 18" descr="List with solid fill">
          <a:extLst>
            <a:ext uri="{FF2B5EF4-FFF2-40B4-BE49-F238E27FC236}">
              <a16:creationId xmlns:a16="http://schemas.microsoft.com/office/drawing/2014/main" id="{0A7063C2-6867-4831-A02A-400A74444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91890" y="3303270"/>
          <a:ext cx="252000" cy="254540"/>
        </a:xfrm>
        <a:prstGeom prst="rect">
          <a:avLst/>
        </a:prstGeom>
      </xdr:spPr>
    </xdr:pic>
    <xdr:clientData/>
  </xdr:twoCellAnchor>
  <xdr:twoCellAnchor editAs="absolute">
    <xdr:from>
      <xdr:col>2</xdr:col>
      <xdr:colOff>223520</xdr:colOff>
      <xdr:row>1</xdr:row>
      <xdr:rowOff>5080</xdr:rowOff>
    </xdr:from>
    <xdr:to>
      <xdr:col>12</xdr:col>
      <xdr:colOff>64770</xdr:colOff>
      <xdr:row>3</xdr:row>
      <xdr:rowOff>101600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B7E4E314-B91E-4DF4-8601-205B47A35770}"/>
            </a:ext>
          </a:extLst>
        </xdr:cNvPr>
        <xdr:cNvSpPr/>
      </xdr:nvSpPr>
      <xdr:spPr>
        <a:xfrm>
          <a:off x="2382520" y="189230"/>
          <a:ext cx="6502400" cy="464820"/>
        </a:xfrm>
        <a:prstGeom prst="rect">
          <a:avLst/>
        </a:prstGeom>
        <a:solidFill>
          <a:schemeClr val="bg1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2800" b="1">
              <a:solidFill>
                <a:sysClr val="windowText" lastClr="000000"/>
              </a:solidFill>
            </a:rPr>
            <a:t>    New</a:t>
          </a:r>
          <a:r>
            <a:rPr lang="en-IN" sz="2800" b="1" baseline="0">
              <a:solidFill>
                <a:sysClr val="windowText" lastClr="000000"/>
              </a:solidFill>
            </a:rPr>
            <a:t> Entry</a:t>
          </a:r>
          <a:endParaRPr lang="en-IN" sz="2800" b="1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670560</xdr:colOff>
      <xdr:row>1</xdr:row>
      <xdr:rowOff>36831</xdr:rowOff>
    </xdr:from>
    <xdr:to>
      <xdr:col>1</xdr:col>
      <xdr:colOff>1148080</xdr:colOff>
      <xdr:row>3</xdr:row>
      <xdr:rowOff>116841</xdr:rowOff>
    </xdr:to>
    <xdr:pic>
      <xdr:nvPicPr>
        <xdr:cNvPr id="2" name="Graphic 1" descr="Checklist with solid fill">
          <a:extLst>
            <a:ext uri="{FF2B5EF4-FFF2-40B4-BE49-F238E27FC236}">
              <a16:creationId xmlns:a16="http://schemas.microsoft.com/office/drawing/2014/main" id="{D24A46FD-D952-495F-81CB-63853DFA1F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69010" y="220981"/>
          <a:ext cx="477520" cy="448310"/>
        </a:xfrm>
        <a:prstGeom prst="rect">
          <a:avLst/>
        </a:prstGeom>
      </xdr:spPr>
    </xdr:pic>
    <xdr:clientData/>
  </xdr:twoCellAnchor>
  <xdr:twoCellAnchor>
    <xdr:from>
      <xdr:col>1</xdr:col>
      <xdr:colOff>25400</xdr:colOff>
      <xdr:row>3</xdr:row>
      <xdr:rowOff>29210</xdr:rowOff>
    </xdr:from>
    <xdr:to>
      <xdr:col>1</xdr:col>
      <xdr:colOff>1798320</xdr:colOff>
      <xdr:row>6</xdr:row>
      <xdr:rowOff>35560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2C65FD5-06CE-4968-97CE-2D97A66CCDB4}"/>
            </a:ext>
          </a:extLst>
        </xdr:cNvPr>
        <xdr:cNvSpPr/>
      </xdr:nvSpPr>
      <xdr:spPr>
        <a:xfrm>
          <a:off x="323850" y="581660"/>
          <a:ext cx="1772920" cy="5588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400" b="1">
              <a:solidFill>
                <a:schemeClr val="tx1"/>
              </a:solidFill>
            </a:rPr>
            <a:t>Inventory</a:t>
          </a:r>
          <a:r>
            <a:rPr lang="en-IN" sz="1400" b="1" baseline="0">
              <a:solidFill>
                <a:schemeClr val="tx1"/>
              </a:solidFill>
            </a:rPr>
            <a:t> Management System</a:t>
          </a:r>
          <a:endParaRPr lang="en-IN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391160</xdr:colOff>
      <xdr:row>6</xdr:row>
      <xdr:rowOff>156210</xdr:rowOff>
    </xdr:from>
    <xdr:to>
      <xdr:col>1</xdr:col>
      <xdr:colOff>1854200</xdr:colOff>
      <xdr:row>8</xdr:row>
      <xdr:rowOff>91440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3F070B4-02A4-4333-877C-BC90544E765C}"/>
            </a:ext>
          </a:extLst>
        </xdr:cNvPr>
        <xdr:cNvSpPr/>
      </xdr:nvSpPr>
      <xdr:spPr>
        <a:xfrm>
          <a:off x="689610" y="1261110"/>
          <a:ext cx="1463040" cy="30353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0" baseline="0">
              <a:solidFill>
                <a:schemeClr val="tx1">
                  <a:lumMod val="50000"/>
                  <a:lumOff val="50000"/>
                </a:schemeClr>
              </a:solidFill>
            </a:rPr>
            <a:t>Dashboard</a:t>
          </a:r>
          <a:endParaRPr lang="en-IN" sz="1400" b="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391160</xdr:colOff>
      <xdr:row>8</xdr:row>
      <xdr:rowOff>78559</xdr:rowOff>
    </xdr:from>
    <xdr:to>
      <xdr:col>1</xdr:col>
      <xdr:colOff>1854200</xdr:colOff>
      <xdr:row>10</xdr:row>
      <xdr:rowOff>13789</xdr:rowOff>
    </xdr:to>
    <xdr:sp macro="" textlink="">
      <xdr:nvSpPr>
        <xdr:cNvPr id="5" name="Rectangle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4F0CB69-DB20-4C61-ACB2-370EA5F4053D}"/>
            </a:ext>
          </a:extLst>
        </xdr:cNvPr>
        <xdr:cNvSpPr/>
      </xdr:nvSpPr>
      <xdr:spPr>
        <a:xfrm>
          <a:off x="689610" y="1551759"/>
          <a:ext cx="1463040" cy="30353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0" baseline="0">
              <a:solidFill>
                <a:schemeClr val="tx1">
                  <a:lumMod val="50000"/>
                  <a:lumOff val="50000"/>
                </a:schemeClr>
              </a:solidFill>
            </a:rPr>
            <a:t>Customers</a:t>
          </a:r>
          <a:endParaRPr lang="en-IN" sz="1400" b="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391160</xdr:colOff>
      <xdr:row>10</xdr:row>
      <xdr:rowOff>908</xdr:rowOff>
    </xdr:from>
    <xdr:to>
      <xdr:col>1</xdr:col>
      <xdr:colOff>1854200</xdr:colOff>
      <xdr:row>11</xdr:row>
      <xdr:rowOff>119018</xdr:rowOff>
    </xdr:to>
    <xdr:sp macro="" textlink="">
      <xdr:nvSpPr>
        <xdr:cNvPr id="6" name="Rectangle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1FC6909-EBED-4735-AE13-F050FB81E06D}"/>
            </a:ext>
          </a:extLst>
        </xdr:cNvPr>
        <xdr:cNvSpPr/>
      </xdr:nvSpPr>
      <xdr:spPr>
        <a:xfrm>
          <a:off x="689610" y="1842408"/>
          <a:ext cx="1463040" cy="3022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0" baseline="0">
              <a:solidFill>
                <a:schemeClr val="tx1">
                  <a:lumMod val="50000"/>
                  <a:lumOff val="50000"/>
                </a:schemeClr>
              </a:solidFill>
            </a:rPr>
            <a:t>Products</a:t>
          </a:r>
          <a:endParaRPr lang="en-IN" sz="1400" b="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391160</xdr:colOff>
      <xdr:row>11</xdr:row>
      <xdr:rowOff>106137</xdr:rowOff>
    </xdr:from>
    <xdr:to>
      <xdr:col>1</xdr:col>
      <xdr:colOff>1854200</xdr:colOff>
      <xdr:row>13</xdr:row>
      <xdr:rowOff>41367</xdr:rowOff>
    </xdr:to>
    <xdr:sp macro="" textlink="">
      <xdr:nvSpPr>
        <xdr:cNvPr id="7" name="Rectangle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F0BD51F0-907F-4B71-96EC-0D2021BD9F74}"/>
            </a:ext>
          </a:extLst>
        </xdr:cNvPr>
        <xdr:cNvSpPr/>
      </xdr:nvSpPr>
      <xdr:spPr>
        <a:xfrm>
          <a:off x="689610" y="2131787"/>
          <a:ext cx="1463040" cy="30353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0" baseline="0">
              <a:solidFill>
                <a:schemeClr val="tx1">
                  <a:lumMod val="50000"/>
                  <a:lumOff val="50000"/>
                </a:schemeClr>
              </a:solidFill>
            </a:rPr>
            <a:t>Vendors</a:t>
          </a:r>
          <a:endParaRPr lang="en-IN" sz="1400" b="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391160</xdr:colOff>
      <xdr:row>14</xdr:row>
      <xdr:rowOff>133715</xdr:rowOff>
    </xdr:from>
    <xdr:to>
      <xdr:col>1</xdr:col>
      <xdr:colOff>1854200</xdr:colOff>
      <xdr:row>16</xdr:row>
      <xdr:rowOff>68945</xdr:rowOff>
    </xdr:to>
    <xdr:sp macro="" textlink="">
      <xdr:nvSpPr>
        <xdr:cNvPr id="8" name="Rectangle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797AE19-8AE3-4FB8-B359-43AAED8B5332}"/>
            </a:ext>
          </a:extLst>
        </xdr:cNvPr>
        <xdr:cNvSpPr/>
      </xdr:nvSpPr>
      <xdr:spPr>
        <a:xfrm>
          <a:off x="689610" y="2711815"/>
          <a:ext cx="1463040" cy="30353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baseline="0">
              <a:solidFill>
                <a:schemeClr val="tx1"/>
              </a:solidFill>
            </a:rPr>
            <a:t>Purchase</a:t>
          </a:r>
          <a:endParaRPr lang="en-IN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391160</xdr:colOff>
      <xdr:row>13</xdr:row>
      <xdr:rowOff>28486</xdr:rowOff>
    </xdr:from>
    <xdr:to>
      <xdr:col>1</xdr:col>
      <xdr:colOff>1854200</xdr:colOff>
      <xdr:row>14</xdr:row>
      <xdr:rowOff>146596</xdr:rowOff>
    </xdr:to>
    <xdr:sp macro="" textlink="">
      <xdr:nvSpPr>
        <xdr:cNvPr id="9" name="Rectangle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AC8C3389-3F18-416F-97D5-2A96556C76E6}"/>
            </a:ext>
          </a:extLst>
        </xdr:cNvPr>
        <xdr:cNvSpPr/>
      </xdr:nvSpPr>
      <xdr:spPr>
        <a:xfrm>
          <a:off x="689610" y="2422436"/>
          <a:ext cx="1463040" cy="3022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0" baseline="0">
              <a:solidFill>
                <a:schemeClr val="tx1">
                  <a:lumMod val="50000"/>
                  <a:lumOff val="50000"/>
                </a:schemeClr>
              </a:solidFill>
            </a:rPr>
            <a:t>New Entry</a:t>
          </a:r>
          <a:endParaRPr lang="en-IN" sz="1400" b="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391160</xdr:colOff>
      <xdr:row>16</xdr:row>
      <xdr:rowOff>56064</xdr:rowOff>
    </xdr:from>
    <xdr:to>
      <xdr:col>1</xdr:col>
      <xdr:colOff>1854200</xdr:colOff>
      <xdr:row>17</xdr:row>
      <xdr:rowOff>174174</xdr:rowOff>
    </xdr:to>
    <xdr:sp macro="" textlink="">
      <xdr:nvSpPr>
        <xdr:cNvPr id="10" name="Rectangle 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83BB4C21-E7BB-41C6-81E6-F9DC0D1ED35A}"/>
            </a:ext>
          </a:extLst>
        </xdr:cNvPr>
        <xdr:cNvSpPr/>
      </xdr:nvSpPr>
      <xdr:spPr>
        <a:xfrm>
          <a:off x="689610" y="3002464"/>
          <a:ext cx="1463040" cy="3022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0" baseline="0">
              <a:solidFill>
                <a:schemeClr val="tx1">
                  <a:lumMod val="50000"/>
                  <a:lumOff val="50000"/>
                </a:schemeClr>
              </a:solidFill>
            </a:rPr>
            <a:t>Sales</a:t>
          </a:r>
          <a:endParaRPr lang="en-IN" sz="1400" b="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391160</xdr:colOff>
      <xdr:row>17</xdr:row>
      <xdr:rowOff>161290</xdr:rowOff>
    </xdr:from>
    <xdr:to>
      <xdr:col>1</xdr:col>
      <xdr:colOff>1854200</xdr:colOff>
      <xdr:row>19</xdr:row>
      <xdr:rowOff>96520</xdr:rowOff>
    </xdr:to>
    <xdr:sp macro="" textlink="">
      <xdr:nvSpPr>
        <xdr:cNvPr id="11" name="Rectangle 1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23F7E03D-F574-4CBE-9511-6FECEF877867}"/>
            </a:ext>
          </a:extLst>
        </xdr:cNvPr>
        <xdr:cNvSpPr/>
      </xdr:nvSpPr>
      <xdr:spPr>
        <a:xfrm>
          <a:off x="689610" y="3291840"/>
          <a:ext cx="1463040" cy="30353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0">
              <a:solidFill>
                <a:schemeClr val="tx1">
                  <a:lumMod val="50000"/>
                  <a:lumOff val="50000"/>
                </a:schemeClr>
              </a:solidFill>
            </a:rPr>
            <a:t>Inventory</a:t>
          </a:r>
        </a:p>
      </xdr:txBody>
    </xdr:sp>
    <xdr:clientData/>
  </xdr:twoCellAnchor>
  <xdr:twoCellAnchor editAs="oneCell">
    <xdr:from>
      <xdr:col>1</xdr:col>
      <xdr:colOff>73171</xdr:colOff>
      <xdr:row>6</xdr:row>
      <xdr:rowOff>148297</xdr:rowOff>
    </xdr:from>
    <xdr:to>
      <xdr:col>1</xdr:col>
      <xdr:colOff>357651</xdr:colOff>
      <xdr:row>8</xdr:row>
      <xdr:rowOff>67017</xdr:rowOff>
    </xdr:to>
    <xdr:pic>
      <xdr:nvPicPr>
        <xdr:cNvPr id="12" name="Graphic 11" descr="Gauge with solid fill">
          <a:extLst>
            <a:ext uri="{FF2B5EF4-FFF2-40B4-BE49-F238E27FC236}">
              <a16:creationId xmlns:a16="http://schemas.microsoft.com/office/drawing/2014/main" id="{27B5CA69-EF60-4328-985F-9CEC0AA46E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71621" y="1253197"/>
          <a:ext cx="284480" cy="287020"/>
        </a:xfrm>
        <a:prstGeom prst="rect">
          <a:avLst/>
        </a:prstGeom>
      </xdr:spPr>
    </xdr:pic>
    <xdr:clientData/>
  </xdr:twoCellAnchor>
  <xdr:twoCellAnchor editAs="oneCell">
    <xdr:from>
      <xdr:col>1</xdr:col>
      <xdr:colOff>93440</xdr:colOff>
      <xdr:row>8</xdr:row>
      <xdr:rowOff>122183</xdr:rowOff>
    </xdr:from>
    <xdr:to>
      <xdr:col>1</xdr:col>
      <xdr:colOff>345440</xdr:colOff>
      <xdr:row>10</xdr:row>
      <xdr:rowOff>8423</xdr:rowOff>
    </xdr:to>
    <xdr:pic>
      <xdr:nvPicPr>
        <xdr:cNvPr id="13" name="Graphic 12" descr="Target Audience with solid fill">
          <a:extLst>
            <a:ext uri="{FF2B5EF4-FFF2-40B4-BE49-F238E27FC236}">
              <a16:creationId xmlns:a16="http://schemas.microsoft.com/office/drawing/2014/main" id="{A3A2BA38-E0D4-405A-9EDF-55598857B0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91890" y="1595383"/>
          <a:ext cx="252000" cy="254540"/>
        </a:xfrm>
        <a:prstGeom prst="rect">
          <a:avLst/>
        </a:prstGeom>
      </xdr:spPr>
    </xdr:pic>
    <xdr:clientData/>
  </xdr:twoCellAnchor>
  <xdr:twoCellAnchor editAs="oneCell">
    <xdr:from>
      <xdr:col>1</xdr:col>
      <xdr:colOff>93440</xdr:colOff>
      <xdr:row>10</xdr:row>
      <xdr:rowOff>39166</xdr:rowOff>
    </xdr:from>
    <xdr:to>
      <xdr:col>1</xdr:col>
      <xdr:colOff>345440</xdr:colOff>
      <xdr:row>11</xdr:row>
      <xdr:rowOff>108286</xdr:rowOff>
    </xdr:to>
    <xdr:pic>
      <xdr:nvPicPr>
        <xdr:cNvPr id="14" name="Graphic 13" descr="Shopping cart with solid fill">
          <a:extLst>
            <a:ext uri="{FF2B5EF4-FFF2-40B4-BE49-F238E27FC236}">
              <a16:creationId xmlns:a16="http://schemas.microsoft.com/office/drawing/2014/main" id="{93C59E28-2DE4-448E-AD08-88296BEDE6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91890" y="1880666"/>
          <a:ext cx="252000" cy="253270"/>
        </a:xfrm>
        <a:prstGeom prst="rect">
          <a:avLst/>
        </a:prstGeom>
      </xdr:spPr>
    </xdr:pic>
    <xdr:clientData/>
  </xdr:twoCellAnchor>
  <xdr:twoCellAnchor editAs="oneCell">
    <xdr:from>
      <xdr:col>1</xdr:col>
      <xdr:colOff>93440</xdr:colOff>
      <xdr:row>11</xdr:row>
      <xdr:rowOff>139029</xdr:rowOff>
    </xdr:from>
    <xdr:to>
      <xdr:col>1</xdr:col>
      <xdr:colOff>345440</xdr:colOff>
      <xdr:row>13</xdr:row>
      <xdr:rowOff>25269</xdr:rowOff>
    </xdr:to>
    <xdr:pic>
      <xdr:nvPicPr>
        <xdr:cNvPr id="15" name="Graphic 14" descr="Male profile with solid fill">
          <a:extLst>
            <a:ext uri="{FF2B5EF4-FFF2-40B4-BE49-F238E27FC236}">
              <a16:creationId xmlns:a16="http://schemas.microsoft.com/office/drawing/2014/main" id="{36D2C9D8-2A65-40B0-BED0-9272E72E6F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91890" y="2164679"/>
          <a:ext cx="252000" cy="254540"/>
        </a:xfrm>
        <a:prstGeom prst="rect">
          <a:avLst/>
        </a:prstGeom>
      </xdr:spPr>
    </xdr:pic>
    <xdr:clientData/>
  </xdr:twoCellAnchor>
  <xdr:twoCellAnchor editAs="oneCell">
    <xdr:from>
      <xdr:col>1</xdr:col>
      <xdr:colOff>93440</xdr:colOff>
      <xdr:row>14</xdr:row>
      <xdr:rowOff>155875</xdr:rowOff>
    </xdr:from>
    <xdr:to>
      <xdr:col>1</xdr:col>
      <xdr:colOff>345440</xdr:colOff>
      <xdr:row>16</xdr:row>
      <xdr:rowOff>42115</xdr:rowOff>
    </xdr:to>
    <xdr:pic>
      <xdr:nvPicPr>
        <xdr:cNvPr id="16" name="Graphic 15" descr="Document with solid fill">
          <a:extLst>
            <a:ext uri="{FF2B5EF4-FFF2-40B4-BE49-F238E27FC236}">
              <a16:creationId xmlns:a16="http://schemas.microsoft.com/office/drawing/2014/main" id="{1C6D119F-F73B-470C-A25C-BE9BB8713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91890" y="2733975"/>
          <a:ext cx="252000" cy="254540"/>
        </a:xfrm>
        <a:prstGeom prst="rect">
          <a:avLst/>
        </a:prstGeom>
      </xdr:spPr>
    </xdr:pic>
    <xdr:clientData/>
  </xdr:twoCellAnchor>
  <xdr:twoCellAnchor editAs="oneCell">
    <xdr:from>
      <xdr:col>1</xdr:col>
      <xdr:colOff>93440</xdr:colOff>
      <xdr:row>13</xdr:row>
      <xdr:rowOff>56012</xdr:rowOff>
    </xdr:from>
    <xdr:to>
      <xdr:col>1</xdr:col>
      <xdr:colOff>345440</xdr:colOff>
      <xdr:row>14</xdr:row>
      <xdr:rowOff>125132</xdr:rowOff>
    </xdr:to>
    <xdr:pic>
      <xdr:nvPicPr>
        <xdr:cNvPr id="17" name="Graphic 16" descr="Books with solid fill">
          <a:extLst>
            <a:ext uri="{FF2B5EF4-FFF2-40B4-BE49-F238E27FC236}">
              <a16:creationId xmlns:a16="http://schemas.microsoft.com/office/drawing/2014/main" id="{E031444F-088D-45D1-AFEB-4C854F4843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91890" y="2449962"/>
          <a:ext cx="252000" cy="253270"/>
        </a:xfrm>
        <a:prstGeom prst="rect">
          <a:avLst/>
        </a:prstGeom>
      </xdr:spPr>
    </xdr:pic>
    <xdr:clientData/>
  </xdr:twoCellAnchor>
  <xdr:twoCellAnchor editAs="oneCell">
    <xdr:from>
      <xdr:col>1</xdr:col>
      <xdr:colOff>93440</xdr:colOff>
      <xdr:row>16</xdr:row>
      <xdr:rowOff>72858</xdr:rowOff>
    </xdr:from>
    <xdr:to>
      <xdr:col>1</xdr:col>
      <xdr:colOff>345440</xdr:colOff>
      <xdr:row>17</xdr:row>
      <xdr:rowOff>141978</xdr:rowOff>
    </xdr:to>
    <xdr:pic>
      <xdr:nvPicPr>
        <xdr:cNvPr id="18" name="Graphic 17" descr="Open book with solid fill">
          <a:extLst>
            <a:ext uri="{FF2B5EF4-FFF2-40B4-BE49-F238E27FC236}">
              <a16:creationId xmlns:a16="http://schemas.microsoft.com/office/drawing/2014/main" id="{6F3E23D3-8425-4C60-B349-AD0F49637D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91890" y="3019258"/>
          <a:ext cx="252000" cy="253270"/>
        </a:xfrm>
        <a:prstGeom prst="rect">
          <a:avLst/>
        </a:prstGeom>
      </xdr:spPr>
    </xdr:pic>
    <xdr:clientData/>
  </xdr:twoCellAnchor>
  <xdr:twoCellAnchor editAs="oneCell">
    <xdr:from>
      <xdr:col>1</xdr:col>
      <xdr:colOff>93440</xdr:colOff>
      <xdr:row>17</xdr:row>
      <xdr:rowOff>172720</xdr:rowOff>
    </xdr:from>
    <xdr:to>
      <xdr:col>1</xdr:col>
      <xdr:colOff>345440</xdr:colOff>
      <xdr:row>19</xdr:row>
      <xdr:rowOff>58960</xdr:rowOff>
    </xdr:to>
    <xdr:pic>
      <xdr:nvPicPr>
        <xdr:cNvPr id="19" name="Graphic 18" descr="List with solid fill">
          <a:extLst>
            <a:ext uri="{FF2B5EF4-FFF2-40B4-BE49-F238E27FC236}">
              <a16:creationId xmlns:a16="http://schemas.microsoft.com/office/drawing/2014/main" id="{16EA13B0-E6CD-4069-8557-44A37E5EE8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91890" y="3303270"/>
          <a:ext cx="252000" cy="254540"/>
        </a:xfrm>
        <a:prstGeom prst="rect">
          <a:avLst/>
        </a:prstGeom>
      </xdr:spPr>
    </xdr:pic>
    <xdr:clientData/>
  </xdr:twoCellAnchor>
  <xdr:twoCellAnchor editAs="absolute">
    <xdr:from>
      <xdr:col>3</xdr:col>
      <xdr:colOff>1270</xdr:colOff>
      <xdr:row>1</xdr:row>
      <xdr:rowOff>5080</xdr:rowOff>
    </xdr:from>
    <xdr:to>
      <xdr:col>9</xdr:col>
      <xdr:colOff>922020</xdr:colOff>
      <xdr:row>3</xdr:row>
      <xdr:rowOff>101600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EA768CB3-6485-465E-9949-5147A25C1EE9}"/>
            </a:ext>
          </a:extLst>
        </xdr:cNvPr>
        <xdr:cNvSpPr/>
      </xdr:nvSpPr>
      <xdr:spPr>
        <a:xfrm>
          <a:off x="2382520" y="189230"/>
          <a:ext cx="6502400" cy="464820"/>
        </a:xfrm>
        <a:prstGeom prst="rect">
          <a:avLst/>
        </a:prstGeom>
        <a:solidFill>
          <a:schemeClr val="bg1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2800" b="1">
              <a:solidFill>
                <a:sysClr val="windowText" lastClr="000000"/>
              </a:solidFill>
            </a:rPr>
            <a:t>    Purchase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670560</xdr:colOff>
      <xdr:row>1</xdr:row>
      <xdr:rowOff>36831</xdr:rowOff>
    </xdr:from>
    <xdr:to>
      <xdr:col>1</xdr:col>
      <xdr:colOff>1148080</xdr:colOff>
      <xdr:row>3</xdr:row>
      <xdr:rowOff>116841</xdr:rowOff>
    </xdr:to>
    <xdr:pic>
      <xdr:nvPicPr>
        <xdr:cNvPr id="2" name="Graphic 1" descr="Checklist with solid fill">
          <a:extLst>
            <a:ext uri="{FF2B5EF4-FFF2-40B4-BE49-F238E27FC236}">
              <a16:creationId xmlns:a16="http://schemas.microsoft.com/office/drawing/2014/main" id="{AE563DBE-C906-4306-AB81-B3EDFC43F2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69010" y="220981"/>
          <a:ext cx="477520" cy="448310"/>
        </a:xfrm>
        <a:prstGeom prst="rect">
          <a:avLst/>
        </a:prstGeom>
      </xdr:spPr>
    </xdr:pic>
    <xdr:clientData/>
  </xdr:twoCellAnchor>
  <xdr:twoCellAnchor>
    <xdr:from>
      <xdr:col>1</xdr:col>
      <xdr:colOff>25400</xdr:colOff>
      <xdr:row>3</xdr:row>
      <xdr:rowOff>29210</xdr:rowOff>
    </xdr:from>
    <xdr:to>
      <xdr:col>1</xdr:col>
      <xdr:colOff>1798320</xdr:colOff>
      <xdr:row>6</xdr:row>
      <xdr:rowOff>35560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065C2A0-4BA7-486D-9BE7-53184BF25BB9}"/>
            </a:ext>
          </a:extLst>
        </xdr:cNvPr>
        <xdr:cNvSpPr/>
      </xdr:nvSpPr>
      <xdr:spPr>
        <a:xfrm>
          <a:off x="323850" y="581660"/>
          <a:ext cx="1772920" cy="5588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400" b="1">
              <a:solidFill>
                <a:schemeClr val="tx1"/>
              </a:solidFill>
            </a:rPr>
            <a:t>Inventory</a:t>
          </a:r>
          <a:r>
            <a:rPr lang="en-IN" sz="1400" b="1" baseline="0">
              <a:solidFill>
                <a:schemeClr val="tx1"/>
              </a:solidFill>
            </a:rPr>
            <a:t> Management System</a:t>
          </a:r>
          <a:endParaRPr lang="en-IN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391160</xdr:colOff>
      <xdr:row>6</xdr:row>
      <xdr:rowOff>156210</xdr:rowOff>
    </xdr:from>
    <xdr:to>
      <xdr:col>1</xdr:col>
      <xdr:colOff>1854200</xdr:colOff>
      <xdr:row>8</xdr:row>
      <xdr:rowOff>91440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87CB85D-1B4E-4C88-8F7A-44DEA8909F22}"/>
            </a:ext>
          </a:extLst>
        </xdr:cNvPr>
        <xdr:cNvSpPr/>
      </xdr:nvSpPr>
      <xdr:spPr>
        <a:xfrm>
          <a:off x="689610" y="1261110"/>
          <a:ext cx="1463040" cy="30353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0" baseline="0">
              <a:solidFill>
                <a:schemeClr val="tx1">
                  <a:lumMod val="50000"/>
                  <a:lumOff val="50000"/>
                </a:schemeClr>
              </a:solidFill>
            </a:rPr>
            <a:t>Dashboard</a:t>
          </a:r>
          <a:endParaRPr lang="en-IN" sz="1400" b="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391160</xdr:colOff>
      <xdr:row>8</xdr:row>
      <xdr:rowOff>78559</xdr:rowOff>
    </xdr:from>
    <xdr:to>
      <xdr:col>1</xdr:col>
      <xdr:colOff>1854200</xdr:colOff>
      <xdr:row>10</xdr:row>
      <xdr:rowOff>13789</xdr:rowOff>
    </xdr:to>
    <xdr:sp macro="" textlink="">
      <xdr:nvSpPr>
        <xdr:cNvPr id="5" name="Rectangle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08615C1-D803-4CAF-8661-EAC13BEBEF7A}"/>
            </a:ext>
          </a:extLst>
        </xdr:cNvPr>
        <xdr:cNvSpPr/>
      </xdr:nvSpPr>
      <xdr:spPr>
        <a:xfrm>
          <a:off x="689610" y="1551759"/>
          <a:ext cx="1463040" cy="30353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0" baseline="0">
              <a:solidFill>
                <a:schemeClr val="tx1">
                  <a:lumMod val="50000"/>
                  <a:lumOff val="50000"/>
                </a:schemeClr>
              </a:solidFill>
            </a:rPr>
            <a:t>Customers</a:t>
          </a:r>
          <a:endParaRPr lang="en-IN" sz="1400" b="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391160</xdr:colOff>
      <xdr:row>10</xdr:row>
      <xdr:rowOff>908</xdr:rowOff>
    </xdr:from>
    <xdr:to>
      <xdr:col>1</xdr:col>
      <xdr:colOff>1854200</xdr:colOff>
      <xdr:row>11</xdr:row>
      <xdr:rowOff>119018</xdr:rowOff>
    </xdr:to>
    <xdr:sp macro="" textlink="">
      <xdr:nvSpPr>
        <xdr:cNvPr id="6" name="Rectangle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11F60A4-38A0-48DC-A5E3-31096EF0D91D}"/>
            </a:ext>
          </a:extLst>
        </xdr:cNvPr>
        <xdr:cNvSpPr/>
      </xdr:nvSpPr>
      <xdr:spPr>
        <a:xfrm>
          <a:off x="689610" y="1842408"/>
          <a:ext cx="1463040" cy="3022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0" baseline="0">
              <a:solidFill>
                <a:schemeClr val="tx1">
                  <a:lumMod val="50000"/>
                  <a:lumOff val="50000"/>
                </a:schemeClr>
              </a:solidFill>
            </a:rPr>
            <a:t>Products</a:t>
          </a:r>
          <a:endParaRPr lang="en-IN" sz="1400" b="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391160</xdr:colOff>
      <xdr:row>11</xdr:row>
      <xdr:rowOff>106137</xdr:rowOff>
    </xdr:from>
    <xdr:to>
      <xdr:col>1</xdr:col>
      <xdr:colOff>1854200</xdr:colOff>
      <xdr:row>13</xdr:row>
      <xdr:rowOff>41367</xdr:rowOff>
    </xdr:to>
    <xdr:sp macro="" textlink="">
      <xdr:nvSpPr>
        <xdr:cNvPr id="7" name="Rectangle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F6FC3FA8-D07E-4913-8F59-AB8964D22F96}"/>
            </a:ext>
          </a:extLst>
        </xdr:cNvPr>
        <xdr:cNvSpPr/>
      </xdr:nvSpPr>
      <xdr:spPr>
        <a:xfrm>
          <a:off x="689610" y="2131787"/>
          <a:ext cx="1463040" cy="30353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0" baseline="0">
              <a:solidFill>
                <a:schemeClr val="tx1">
                  <a:lumMod val="50000"/>
                  <a:lumOff val="50000"/>
                </a:schemeClr>
              </a:solidFill>
            </a:rPr>
            <a:t>Vendors</a:t>
          </a:r>
          <a:endParaRPr lang="en-IN" sz="1400" b="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391160</xdr:colOff>
      <xdr:row>14</xdr:row>
      <xdr:rowOff>133715</xdr:rowOff>
    </xdr:from>
    <xdr:to>
      <xdr:col>1</xdr:col>
      <xdr:colOff>1854200</xdr:colOff>
      <xdr:row>16</xdr:row>
      <xdr:rowOff>68945</xdr:rowOff>
    </xdr:to>
    <xdr:sp macro="" textlink="">
      <xdr:nvSpPr>
        <xdr:cNvPr id="8" name="Rectangle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B33F759-674A-4ADD-97BA-020BE4DBA14D}"/>
            </a:ext>
          </a:extLst>
        </xdr:cNvPr>
        <xdr:cNvSpPr/>
      </xdr:nvSpPr>
      <xdr:spPr>
        <a:xfrm>
          <a:off x="689610" y="2711815"/>
          <a:ext cx="1463040" cy="30353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0" baseline="0">
              <a:solidFill>
                <a:schemeClr val="tx1">
                  <a:lumMod val="50000"/>
                  <a:lumOff val="50000"/>
                </a:schemeClr>
              </a:solidFill>
            </a:rPr>
            <a:t>Purchase</a:t>
          </a:r>
          <a:endParaRPr lang="en-IN" sz="1400" b="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391160</xdr:colOff>
      <xdr:row>13</xdr:row>
      <xdr:rowOff>28486</xdr:rowOff>
    </xdr:from>
    <xdr:to>
      <xdr:col>1</xdr:col>
      <xdr:colOff>1854200</xdr:colOff>
      <xdr:row>14</xdr:row>
      <xdr:rowOff>146596</xdr:rowOff>
    </xdr:to>
    <xdr:sp macro="" textlink="">
      <xdr:nvSpPr>
        <xdr:cNvPr id="9" name="Rectangle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A6DF2B37-6DC8-4EBF-859B-0B1119060E9D}"/>
            </a:ext>
          </a:extLst>
        </xdr:cNvPr>
        <xdr:cNvSpPr/>
      </xdr:nvSpPr>
      <xdr:spPr>
        <a:xfrm>
          <a:off x="689610" y="2422436"/>
          <a:ext cx="1463040" cy="3022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0" baseline="0">
              <a:solidFill>
                <a:schemeClr val="tx1">
                  <a:lumMod val="50000"/>
                  <a:lumOff val="50000"/>
                </a:schemeClr>
              </a:solidFill>
            </a:rPr>
            <a:t>New Entry</a:t>
          </a:r>
          <a:endParaRPr lang="en-IN" sz="1400" b="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391160</xdr:colOff>
      <xdr:row>16</xdr:row>
      <xdr:rowOff>56064</xdr:rowOff>
    </xdr:from>
    <xdr:to>
      <xdr:col>1</xdr:col>
      <xdr:colOff>1854200</xdr:colOff>
      <xdr:row>17</xdr:row>
      <xdr:rowOff>174174</xdr:rowOff>
    </xdr:to>
    <xdr:sp macro="" textlink="">
      <xdr:nvSpPr>
        <xdr:cNvPr id="10" name="Rectangle 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BD1D332C-02BD-4D1E-BE4C-CBA9B20CB786}"/>
            </a:ext>
          </a:extLst>
        </xdr:cNvPr>
        <xdr:cNvSpPr/>
      </xdr:nvSpPr>
      <xdr:spPr>
        <a:xfrm>
          <a:off x="689610" y="3002464"/>
          <a:ext cx="1463040" cy="3022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baseline="0">
              <a:solidFill>
                <a:schemeClr val="tx1"/>
              </a:solidFill>
            </a:rPr>
            <a:t>Sales</a:t>
          </a:r>
          <a:endParaRPr lang="en-IN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391160</xdr:colOff>
      <xdr:row>17</xdr:row>
      <xdr:rowOff>161290</xdr:rowOff>
    </xdr:from>
    <xdr:to>
      <xdr:col>1</xdr:col>
      <xdr:colOff>1854200</xdr:colOff>
      <xdr:row>19</xdr:row>
      <xdr:rowOff>96520</xdr:rowOff>
    </xdr:to>
    <xdr:sp macro="" textlink="">
      <xdr:nvSpPr>
        <xdr:cNvPr id="11" name="Rectangle 1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624C3EB4-F9B5-4BFA-BFB1-4F3927BF3792}"/>
            </a:ext>
          </a:extLst>
        </xdr:cNvPr>
        <xdr:cNvSpPr/>
      </xdr:nvSpPr>
      <xdr:spPr>
        <a:xfrm>
          <a:off x="689610" y="3291840"/>
          <a:ext cx="1463040" cy="30353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0">
              <a:solidFill>
                <a:schemeClr val="tx1">
                  <a:lumMod val="50000"/>
                  <a:lumOff val="50000"/>
                </a:schemeClr>
              </a:solidFill>
            </a:rPr>
            <a:t>Inventory</a:t>
          </a:r>
        </a:p>
      </xdr:txBody>
    </xdr:sp>
    <xdr:clientData/>
  </xdr:twoCellAnchor>
  <xdr:twoCellAnchor editAs="oneCell">
    <xdr:from>
      <xdr:col>1</xdr:col>
      <xdr:colOff>73171</xdr:colOff>
      <xdr:row>6</xdr:row>
      <xdr:rowOff>148297</xdr:rowOff>
    </xdr:from>
    <xdr:to>
      <xdr:col>1</xdr:col>
      <xdr:colOff>357651</xdr:colOff>
      <xdr:row>8</xdr:row>
      <xdr:rowOff>67017</xdr:rowOff>
    </xdr:to>
    <xdr:pic>
      <xdr:nvPicPr>
        <xdr:cNvPr id="12" name="Graphic 11" descr="Gauge with solid fill">
          <a:extLst>
            <a:ext uri="{FF2B5EF4-FFF2-40B4-BE49-F238E27FC236}">
              <a16:creationId xmlns:a16="http://schemas.microsoft.com/office/drawing/2014/main" id="{F86AA50C-2CFB-4995-912B-E9717E9EEE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71621" y="1253197"/>
          <a:ext cx="284480" cy="287020"/>
        </a:xfrm>
        <a:prstGeom prst="rect">
          <a:avLst/>
        </a:prstGeom>
      </xdr:spPr>
    </xdr:pic>
    <xdr:clientData/>
  </xdr:twoCellAnchor>
  <xdr:twoCellAnchor editAs="oneCell">
    <xdr:from>
      <xdr:col>1</xdr:col>
      <xdr:colOff>93440</xdr:colOff>
      <xdr:row>8</xdr:row>
      <xdr:rowOff>122183</xdr:rowOff>
    </xdr:from>
    <xdr:to>
      <xdr:col>1</xdr:col>
      <xdr:colOff>345440</xdr:colOff>
      <xdr:row>10</xdr:row>
      <xdr:rowOff>8423</xdr:rowOff>
    </xdr:to>
    <xdr:pic>
      <xdr:nvPicPr>
        <xdr:cNvPr id="13" name="Graphic 12" descr="Target Audience with solid fill">
          <a:extLst>
            <a:ext uri="{FF2B5EF4-FFF2-40B4-BE49-F238E27FC236}">
              <a16:creationId xmlns:a16="http://schemas.microsoft.com/office/drawing/2014/main" id="{3CD71E83-91B0-4C93-8CAC-0AFBBB7E06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91890" y="1595383"/>
          <a:ext cx="252000" cy="254540"/>
        </a:xfrm>
        <a:prstGeom prst="rect">
          <a:avLst/>
        </a:prstGeom>
      </xdr:spPr>
    </xdr:pic>
    <xdr:clientData/>
  </xdr:twoCellAnchor>
  <xdr:twoCellAnchor editAs="oneCell">
    <xdr:from>
      <xdr:col>1</xdr:col>
      <xdr:colOff>93440</xdr:colOff>
      <xdr:row>10</xdr:row>
      <xdr:rowOff>39166</xdr:rowOff>
    </xdr:from>
    <xdr:to>
      <xdr:col>1</xdr:col>
      <xdr:colOff>345440</xdr:colOff>
      <xdr:row>11</xdr:row>
      <xdr:rowOff>108286</xdr:rowOff>
    </xdr:to>
    <xdr:pic>
      <xdr:nvPicPr>
        <xdr:cNvPr id="14" name="Graphic 13" descr="Shopping cart with solid fill">
          <a:extLst>
            <a:ext uri="{FF2B5EF4-FFF2-40B4-BE49-F238E27FC236}">
              <a16:creationId xmlns:a16="http://schemas.microsoft.com/office/drawing/2014/main" id="{17CDAAAC-19BE-4882-9B01-DB1696A05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91890" y="1880666"/>
          <a:ext cx="252000" cy="253270"/>
        </a:xfrm>
        <a:prstGeom prst="rect">
          <a:avLst/>
        </a:prstGeom>
      </xdr:spPr>
    </xdr:pic>
    <xdr:clientData/>
  </xdr:twoCellAnchor>
  <xdr:twoCellAnchor editAs="oneCell">
    <xdr:from>
      <xdr:col>1</xdr:col>
      <xdr:colOff>93440</xdr:colOff>
      <xdr:row>11</xdr:row>
      <xdr:rowOff>139029</xdr:rowOff>
    </xdr:from>
    <xdr:to>
      <xdr:col>1</xdr:col>
      <xdr:colOff>345440</xdr:colOff>
      <xdr:row>13</xdr:row>
      <xdr:rowOff>25269</xdr:rowOff>
    </xdr:to>
    <xdr:pic>
      <xdr:nvPicPr>
        <xdr:cNvPr id="15" name="Graphic 14" descr="Male profile with solid fill">
          <a:extLst>
            <a:ext uri="{FF2B5EF4-FFF2-40B4-BE49-F238E27FC236}">
              <a16:creationId xmlns:a16="http://schemas.microsoft.com/office/drawing/2014/main" id="{AF9929AA-0E08-45D0-BA65-09174B3B42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91890" y="2164679"/>
          <a:ext cx="252000" cy="254540"/>
        </a:xfrm>
        <a:prstGeom prst="rect">
          <a:avLst/>
        </a:prstGeom>
      </xdr:spPr>
    </xdr:pic>
    <xdr:clientData/>
  </xdr:twoCellAnchor>
  <xdr:twoCellAnchor editAs="oneCell">
    <xdr:from>
      <xdr:col>1</xdr:col>
      <xdr:colOff>93440</xdr:colOff>
      <xdr:row>14</xdr:row>
      <xdr:rowOff>155875</xdr:rowOff>
    </xdr:from>
    <xdr:to>
      <xdr:col>1</xdr:col>
      <xdr:colOff>345440</xdr:colOff>
      <xdr:row>16</xdr:row>
      <xdr:rowOff>42115</xdr:rowOff>
    </xdr:to>
    <xdr:pic>
      <xdr:nvPicPr>
        <xdr:cNvPr id="16" name="Graphic 15" descr="Document with solid fill">
          <a:extLst>
            <a:ext uri="{FF2B5EF4-FFF2-40B4-BE49-F238E27FC236}">
              <a16:creationId xmlns:a16="http://schemas.microsoft.com/office/drawing/2014/main" id="{79622813-4AB8-49C9-8291-15887023F0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91890" y="2733975"/>
          <a:ext cx="252000" cy="254540"/>
        </a:xfrm>
        <a:prstGeom prst="rect">
          <a:avLst/>
        </a:prstGeom>
      </xdr:spPr>
    </xdr:pic>
    <xdr:clientData/>
  </xdr:twoCellAnchor>
  <xdr:twoCellAnchor editAs="oneCell">
    <xdr:from>
      <xdr:col>1</xdr:col>
      <xdr:colOff>93440</xdr:colOff>
      <xdr:row>13</xdr:row>
      <xdr:rowOff>56012</xdr:rowOff>
    </xdr:from>
    <xdr:to>
      <xdr:col>1</xdr:col>
      <xdr:colOff>345440</xdr:colOff>
      <xdr:row>14</xdr:row>
      <xdr:rowOff>125132</xdr:rowOff>
    </xdr:to>
    <xdr:pic>
      <xdr:nvPicPr>
        <xdr:cNvPr id="17" name="Graphic 16" descr="Books with solid fill">
          <a:extLst>
            <a:ext uri="{FF2B5EF4-FFF2-40B4-BE49-F238E27FC236}">
              <a16:creationId xmlns:a16="http://schemas.microsoft.com/office/drawing/2014/main" id="{DDC7B444-5D2F-4EAD-9570-05D4E42A11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91890" y="2449962"/>
          <a:ext cx="252000" cy="253270"/>
        </a:xfrm>
        <a:prstGeom prst="rect">
          <a:avLst/>
        </a:prstGeom>
      </xdr:spPr>
    </xdr:pic>
    <xdr:clientData/>
  </xdr:twoCellAnchor>
  <xdr:twoCellAnchor editAs="oneCell">
    <xdr:from>
      <xdr:col>1</xdr:col>
      <xdr:colOff>93440</xdr:colOff>
      <xdr:row>16</xdr:row>
      <xdr:rowOff>72858</xdr:rowOff>
    </xdr:from>
    <xdr:to>
      <xdr:col>1</xdr:col>
      <xdr:colOff>345440</xdr:colOff>
      <xdr:row>17</xdr:row>
      <xdr:rowOff>141978</xdr:rowOff>
    </xdr:to>
    <xdr:pic>
      <xdr:nvPicPr>
        <xdr:cNvPr id="18" name="Graphic 17" descr="Open book with solid fill">
          <a:extLst>
            <a:ext uri="{FF2B5EF4-FFF2-40B4-BE49-F238E27FC236}">
              <a16:creationId xmlns:a16="http://schemas.microsoft.com/office/drawing/2014/main" id="{B1422DFA-97A7-4E01-986F-74CE31576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91890" y="3019258"/>
          <a:ext cx="252000" cy="253270"/>
        </a:xfrm>
        <a:prstGeom prst="rect">
          <a:avLst/>
        </a:prstGeom>
      </xdr:spPr>
    </xdr:pic>
    <xdr:clientData/>
  </xdr:twoCellAnchor>
  <xdr:twoCellAnchor editAs="oneCell">
    <xdr:from>
      <xdr:col>1</xdr:col>
      <xdr:colOff>93440</xdr:colOff>
      <xdr:row>17</xdr:row>
      <xdr:rowOff>172720</xdr:rowOff>
    </xdr:from>
    <xdr:to>
      <xdr:col>1</xdr:col>
      <xdr:colOff>345440</xdr:colOff>
      <xdr:row>19</xdr:row>
      <xdr:rowOff>58960</xdr:rowOff>
    </xdr:to>
    <xdr:pic>
      <xdr:nvPicPr>
        <xdr:cNvPr id="19" name="Graphic 18" descr="List with solid fill">
          <a:extLst>
            <a:ext uri="{FF2B5EF4-FFF2-40B4-BE49-F238E27FC236}">
              <a16:creationId xmlns:a16="http://schemas.microsoft.com/office/drawing/2014/main" id="{A833C76F-AB87-4F64-A6B5-91788B4C19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91890" y="3303270"/>
          <a:ext cx="252000" cy="254540"/>
        </a:xfrm>
        <a:prstGeom prst="rect">
          <a:avLst/>
        </a:prstGeom>
      </xdr:spPr>
    </xdr:pic>
    <xdr:clientData/>
  </xdr:twoCellAnchor>
  <xdr:twoCellAnchor editAs="absolute">
    <xdr:from>
      <xdr:col>2</xdr:col>
      <xdr:colOff>223520</xdr:colOff>
      <xdr:row>1</xdr:row>
      <xdr:rowOff>5080</xdr:rowOff>
    </xdr:from>
    <xdr:to>
      <xdr:col>10</xdr:col>
      <xdr:colOff>140970</xdr:colOff>
      <xdr:row>3</xdr:row>
      <xdr:rowOff>101600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D42B54D1-5F56-43CD-BBD1-75EA6C45C7CE}"/>
            </a:ext>
          </a:extLst>
        </xdr:cNvPr>
        <xdr:cNvSpPr/>
      </xdr:nvSpPr>
      <xdr:spPr>
        <a:xfrm>
          <a:off x="2382520" y="189230"/>
          <a:ext cx="6502400" cy="464820"/>
        </a:xfrm>
        <a:prstGeom prst="rect">
          <a:avLst/>
        </a:prstGeom>
        <a:solidFill>
          <a:schemeClr val="bg1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2800" b="1">
              <a:solidFill>
                <a:sysClr val="windowText" lastClr="000000"/>
              </a:solidFill>
            </a:rPr>
            <a:t>    Sales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670560</xdr:colOff>
      <xdr:row>1</xdr:row>
      <xdr:rowOff>36831</xdr:rowOff>
    </xdr:from>
    <xdr:to>
      <xdr:col>1</xdr:col>
      <xdr:colOff>1148080</xdr:colOff>
      <xdr:row>3</xdr:row>
      <xdr:rowOff>116841</xdr:rowOff>
    </xdr:to>
    <xdr:pic>
      <xdr:nvPicPr>
        <xdr:cNvPr id="2" name="Graphic 1" descr="Checklist with solid fill">
          <a:extLst>
            <a:ext uri="{FF2B5EF4-FFF2-40B4-BE49-F238E27FC236}">
              <a16:creationId xmlns:a16="http://schemas.microsoft.com/office/drawing/2014/main" id="{68C6626E-31DA-4714-A0CB-9DEEA7E5FC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69010" y="220981"/>
          <a:ext cx="477520" cy="448310"/>
        </a:xfrm>
        <a:prstGeom prst="rect">
          <a:avLst/>
        </a:prstGeom>
      </xdr:spPr>
    </xdr:pic>
    <xdr:clientData/>
  </xdr:twoCellAnchor>
  <xdr:twoCellAnchor>
    <xdr:from>
      <xdr:col>1</xdr:col>
      <xdr:colOff>25400</xdr:colOff>
      <xdr:row>3</xdr:row>
      <xdr:rowOff>29210</xdr:rowOff>
    </xdr:from>
    <xdr:to>
      <xdr:col>1</xdr:col>
      <xdr:colOff>1798320</xdr:colOff>
      <xdr:row>6</xdr:row>
      <xdr:rowOff>35560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5D4567F7-5D83-461E-8222-DE101A4848CE}"/>
            </a:ext>
          </a:extLst>
        </xdr:cNvPr>
        <xdr:cNvSpPr/>
      </xdr:nvSpPr>
      <xdr:spPr>
        <a:xfrm>
          <a:off x="323850" y="581660"/>
          <a:ext cx="1772920" cy="5588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400" b="1">
              <a:solidFill>
                <a:schemeClr val="tx1"/>
              </a:solidFill>
            </a:rPr>
            <a:t>Inventory</a:t>
          </a:r>
          <a:r>
            <a:rPr lang="en-IN" sz="1400" b="1" baseline="0">
              <a:solidFill>
                <a:schemeClr val="tx1"/>
              </a:solidFill>
            </a:rPr>
            <a:t> Management System</a:t>
          </a:r>
          <a:endParaRPr lang="en-IN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391160</xdr:colOff>
      <xdr:row>6</xdr:row>
      <xdr:rowOff>156210</xdr:rowOff>
    </xdr:from>
    <xdr:to>
      <xdr:col>1</xdr:col>
      <xdr:colOff>1854200</xdr:colOff>
      <xdr:row>8</xdr:row>
      <xdr:rowOff>91440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E75BAE6-0B7E-4C41-9350-CBA70D8ACB2E}"/>
            </a:ext>
          </a:extLst>
        </xdr:cNvPr>
        <xdr:cNvSpPr/>
      </xdr:nvSpPr>
      <xdr:spPr>
        <a:xfrm>
          <a:off x="689610" y="1261110"/>
          <a:ext cx="1463040" cy="30353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0" baseline="0">
              <a:solidFill>
                <a:schemeClr val="tx1">
                  <a:lumMod val="50000"/>
                  <a:lumOff val="50000"/>
                </a:schemeClr>
              </a:solidFill>
            </a:rPr>
            <a:t>Dashboard</a:t>
          </a:r>
          <a:endParaRPr lang="en-IN" sz="1400" b="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391160</xdr:colOff>
      <xdr:row>8</xdr:row>
      <xdr:rowOff>78559</xdr:rowOff>
    </xdr:from>
    <xdr:to>
      <xdr:col>1</xdr:col>
      <xdr:colOff>1854200</xdr:colOff>
      <xdr:row>10</xdr:row>
      <xdr:rowOff>13789</xdr:rowOff>
    </xdr:to>
    <xdr:sp macro="" textlink="">
      <xdr:nvSpPr>
        <xdr:cNvPr id="5" name="Rectangle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D38642B-B91D-4952-B7C5-3B58FECAAA32}"/>
            </a:ext>
          </a:extLst>
        </xdr:cNvPr>
        <xdr:cNvSpPr/>
      </xdr:nvSpPr>
      <xdr:spPr>
        <a:xfrm>
          <a:off x="689610" y="1551759"/>
          <a:ext cx="1463040" cy="30353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0" baseline="0">
              <a:solidFill>
                <a:schemeClr val="tx1">
                  <a:lumMod val="50000"/>
                  <a:lumOff val="50000"/>
                </a:schemeClr>
              </a:solidFill>
            </a:rPr>
            <a:t>Customers</a:t>
          </a:r>
          <a:endParaRPr lang="en-IN" sz="1400" b="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391160</xdr:colOff>
      <xdr:row>10</xdr:row>
      <xdr:rowOff>908</xdr:rowOff>
    </xdr:from>
    <xdr:to>
      <xdr:col>1</xdr:col>
      <xdr:colOff>1854200</xdr:colOff>
      <xdr:row>11</xdr:row>
      <xdr:rowOff>119018</xdr:rowOff>
    </xdr:to>
    <xdr:sp macro="" textlink="">
      <xdr:nvSpPr>
        <xdr:cNvPr id="6" name="Rectangle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2CECC20-8A77-455C-8474-BAE7D4F1A973}"/>
            </a:ext>
          </a:extLst>
        </xdr:cNvPr>
        <xdr:cNvSpPr/>
      </xdr:nvSpPr>
      <xdr:spPr>
        <a:xfrm>
          <a:off x="689610" y="1842408"/>
          <a:ext cx="1463040" cy="3022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0" baseline="0">
              <a:solidFill>
                <a:schemeClr val="tx1">
                  <a:lumMod val="50000"/>
                  <a:lumOff val="50000"/>
                </a:schemeClr>
              </a:solidFill>
            </a:rPr>
            <a:t>Products</a:t>
          </a:r>
          <a:endParaRPr lang="en-IN" sz="1400" b="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391160</xdr:colOff>
      <xdr:row>11</xdr:row>
      <xdr:rowOff>106137</xdr:rowOff>
    </xdr:from>
    <xdr:to>
      <xdr:col>1</xdr:col>
      <xdr:colOff>1854200</xdr:colOff>
      <xdr:row>13</xdr:row>
      <xdr:rowOff>41367</xdr:rowOff>
    </xdr:to>
    <xdr:sp macro="" textlink="">
      <xdr:nvSpPr>
        <xdr:cNvPr id="7" name="Rectangle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DF2FEA06-DA9E-4EE3-B7DF-6F50A7BFA903}"/>
            </a:ext>
          </a:extLst>
        </xdr:cNvPr>
        <xdr:cNvSpPr/>
      </xdr:nvSpPr>
      <xdr:spPr>
        <a:xfrm>
          <a:off x="689610" y="2131787"/>
          <a:ext cx="1463040" cy="30353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0" baseline="0">
              <a:solidFill>
                <a:schemeClr val="tx1">
                  <a:lumMod val="50000"/>
                  <a:lumOff val="50000"/>
                </a:schemeClr>
              </a:solidFill>
            </a:rPr>
            <a:t>Vendors</a:t>
          </a:r>
          <a:endParaRPr lang="en-IN" sz="1400" b="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391160</xdr:colOff>
      <xdr:row>14</xdr:row>
      <xdr:rowOff>133715</xdr:rowOff>
    </xdr:from>
    <xdr:to>
      <xdr:col>1</xdr:col>
      <xdr:colOff>1854200</xdr:colOff>
      <xdr:row>16</xdr:row>
      <xdr:rowOff>68945</xdr:rowOff>
    </xdr:to>
    <xdr:sp macro="" textlink="">
      <xdr:nvSpPr>
        <xdr:cNvPr id="8" name="Rectangle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C0A3798-D7E2-4A92-8F65-C74A6D5AF2B9}"/>
            </a:ext>
          </a:extLst>
        </xdr:cNvPr>
        <xdr:cNvSpPr/>
      </xdr:nvSpPr>
      <xdr:spPr>
        <a:xfrm>
          <a:off x="689610" y="2711815"/>
          <a:ext cx="1463040" cy="30353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0" baseline="0">
              <a:solidFill>
                <a:schemeClr val="tx1">
                  <a:lumMod val="50000"/>
                  <a:lumOff val="50000"/>
                </a:schemeClr>
              </a:solidFill>
            </a:rPr>
            <a:t>Purchase</a:t>
          </a:r>
          <a:endParaRPr lang="en-IN" sz="1400" b="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391160</xdr:colOff>
      <xdr:row>13</xdr:row>
      <xdr:rowOff>28486</xdr:rowOff>
    </xdr:from>
    <xdr:to>
      <xdr:col>1</xdr:col>
      <xdr:colOff>1854200</xdr:colOff>
      <xdr:row>14</xdr:row>
      <xdr:rowOff>146596</xdr:rowOff>
    </xdr:to>
    <xdr:sp macro="" textlink="">
      <xdr:nvSpPr>
        <xdr:cNvPr id="9" name="Rectangle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563FD02-EDC1-4AE5-88A5-818E18C44569}"/>
            </a:ext>
          </a:extLst>
        </xdr:cNvPr>
        <xdr:cNvSpPr/>
      </xdr:nvSpPr>
      <xdr:spPr>
        <a:xfrm>
          <a:off x="689610" y="2422436"/>
          <a:ext cx="1463040" cy="3022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0" baseline="0">
              <a:solidFill>
                <a:schemeClr val="tx1">
                  <a:lumMod val="50000"/>
                  <a:lumOff val="50000"/>
                </a:schemeClr>
              </a:solidFill>
            </a:rPr>
            <a:t>New Entry</a:t>
          </a:r>
          <a:endParaRPr lang="en-IN" sz="1400" b="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391160</xdr:colOff>
      <xdr:row>16</xdr:row>
      <xdr:rowOff>56064</xdr:rowOff>
    </xdr:from>
    <xdr:to>
      <xdr:col>1</xdr:col>
      <xdr:colOff>1854200</xdr:colOff>
      <xdr:row>17</xdr:row>
      <xdr:rowOff>174174</xdr:rowOff>
    </xdr:to>
    <xdr:sp macro="" textlink="">
      <xdr:nvSpPr>
        <xdr:cNvPr id="10" name="Rectangle 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61903B02-C3EC-4903-9834-94403D6A8DA4}"/>
            </a:ext>
          </a:extLst>
        </xdr:cNvPr>
        <xdr:cNvSpPr/>
      </xdr:nvSpPr>
      <xdr:spPr>
        <a:xfrm>
          <a:off x="689610" y="3002464"/>
          <a:ext cx="1463040" cy="3022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0" baseline="0">
              <a:solidFill>
                <a:schemeClr val="tx1">
                  <a:lumMod val="50000"/>
                  <a:lumOff val="50000"/>
                </a:schemeClr>
              </a:solidFill>
            </a:rPr>
            <a:t>Sales</a:t>
          </a:r>
          <a:endParaRPr lang="en-IN" sz="1400" b="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391160</xdr:colOff>
      <xdr:row>17</xdr:row>
      <xdr:rowOff>161290</xdr:rowOff>
    </xdr:from>
    <xdr:to>
      <xdr:col>1</xdr:col>
      <xdr:colOff>1854200</xdr:colOff>
      <xdr:row>19</xdr:row>
      <xdr:rowOff>96520</xdr:rowOff>
    </xdr:to>
    <xdr:sp macro="" textlink="">
      <xdr:nvSpPr>
        <xdr:cNvPr id="11" name="Rectangle 1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D46F605B-4E4F-4F2F-89DD-DACD691D78F9}"/>
            </a:ext>
          </a:extLst>
        </xdr:cNvPr>
        <xdr:cNvSpPr/>
      </xdr:nvSpPr>
      <xdr:spPr>
        <a:xfrm>
          <a:off x="689610" y="3291840"/>
          <a:ext cx="1463040" cy="30353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>
              <a:solidFill>
                <a:schemeClr val="tx1"/>
              </a:solidFill>
            </a:rPr>
            <a:t>Inventory</a:t>
          </a:r>
        </a:p>
      </xdr:txBody>
    </xdr:sp>
    <xdr:clientData/>
  </xdr:twoCellAnchor>
  <xdr:twoCellAnchor editAs="oneCell">
    <xdr:from>
      <xdr:col>1</xdr:col>
      <xdr:colOff>73171</xdr:colOff>
      <xdr:row>6</xdr:row>
      <xdr:rowOff>148297</xdr:rowOff>
    </xdr:from>
    <xdr:to>
      <xdr:col>1</xdr:col>
      <xdr:colOff>357651</xdr:colOff>
      <xdr:row>8</xdr:row>
      <xdr:rowOff>67017</xdr:rowOff>
    </xdr:to>
    <xdr:pic>
      <xdr:nvPicPr>
        <xdr:cNvPr id="12" name="Graphic 11" descr="Gauge with solid fill">
          <a:extLst>
            <a:ext uri="{FF2B5EF4-FFF2-40B4-BE49-F238E27FC236}">
              <a16:creationId xmlns:a16="http://schemas.microsoft.com/office/drawing/2014/main" id="{29033AAB-CA08-46CF-AB79-097AA73EC8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71621" y="1253197"/>
          <a:ext cx="284480" cy="287020"/>
        </a:xfrm>
        <a:prstGeom prst="rect">
          <a:avLst/>
        </a:prstGeom>
      </xdr:spPr>
    </xdr:pic>
    <xdr:clientData/>
  </xdr:twoCellAnchor>
  <xdr:twoCellAnchor editAs="oneCell">
    <xdr:from>
      <xdr:col>1</xdr:col>
      <xdr:colOff>93440</xdr:colOff>
      <xdr:row>8</xdr:row>
      <xdr:rowOff>122183</xdr:rowOff>
    </xdr:from>
    <xdr:to>
      <xdr:col>1</xdr:col>
      <xdr:colOff>345440</xdr:colOff>
      <xdr:row>10</xdr:row>
      <xdr:rowOff>8423</xdr:rowOff>
    </xdr:to>
    <xdr:pic>
      <xdr:nvPicPr>
        <xdr:cNvPr id="13" name="Graphic 12" descr="Target Audience with solid fill">
          <a:extLst>
            <a:ext uri="{FF2B5EF4-FFF2-40B4-BE49-F238E27FC236}">
              <a16:creationId xmlns:a16="http://schemas.microsoft.com/office/drawing/2014/main" id="{2C43AD6F-D2FF-4153-997C-C3289D6707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91890" y="1595383"/>
          <a:ext cx="252000" cy="254540"/>
        </a:xfrm>
        <a:prstGeom prst="rect">
          <a:avLst/>
        </a:prstGeom>
      </xdr:spPr>
    </xdr:pic>
    <xdr:clientData/>
  </xdr:twoCellAnchor>
  <xdr:twoCellAnchor editAs="oneCell">
    <xdr:from>
      <xdr:col>1</xdr:col>
      <xdr:colOff>93440</xdr:colOff>
      <xdr:row>10</xdr:row>
      <xdr:rowOff>39166</xdr:rowOff>
    </xdr:from>
    <xdr:to>
      <xdr:col>1</xdr:col>
      <xdr:colOff>345440</xdr:colOff>
      <xdr:row>11</xdr:row>
      <xdr:rowOff>108286</xdr:rowOff>
    </xdr:to>
    <xdr:pic>
      <xdr:nvPicPr>
        <xdr:cNvPr id="14" name="Graphic 13" descr="Shopping cart with solid fill">
          <a:extLst>
            <a:ext uri="{FF2B5EF4-FFF2-40B4-BE49-F238E27FC236}">
              <a16:creationId xmlns:a16="http://schemas.microsoft.com/office/drawing/2014/main" id="{FAE2140F-B4FC-45AE-A4D0-7D8F423E8D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91890" y="1880666"/>
          <a:ext cx="252000" cy="253270"/>
        </a:xfrm>
        <a:prstGeom prst="rect">
          <a:avLst/>
        </a:prstGeom>
      </xdr:spPr>
    </xdr:pic>
    <xdr:clientData/>
  </xdr:twoCellAnchor>
  <xdr:twoCellAnchor editAs="oneCell">
    <xdr:from>
      <xdr:col>1</xdr:col>
      <xdr:colOff>93440</xdr:colOff>
      <xdr:row>11</xdr:row>
      <xdr:rowOff>139029</xdr:rowOff>
    </xdr:from>
    <xdr:to>
      <xdr:col>1</xdr:col>
      <xdr:colOff>345440</xdr:colOff>
      <xdr:row>13</xdr:row>
      <xdr:rowOff>25269</xdr:rowOff>
    </xdr:to>
    <xdr:pic>
      <xdr:nvPicPr>
        <xdr:cNvPr id="15" name="Graphic 14" descr="Male profile with solid fill">
          <a:extLst>
            <a:ext uri="{FF2B5EF4-FFF2-40B4-BE49-F238E27FC236}">
              <a16:creationId xmlns:a16="http://schemas.microsoft.com/office/drawing/2014/main" id="{DC081208-3E1B-4F81-A80F-2C66D45E59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91890" y="2164679"/>
          <a:ext cx="252000" cy="254540"/>
        </a:xfrm>
        <a:prstGeom prst="rect">
          <a:avLst/>
        </a:prstGeom>
      </xdr:spPr>
    </xdr:pic>
    <xdr:clientData/>
  </xdr:twoCellAnchor>
  <xdr:twoCellAnchor editAs="oneCell">
    <xdr:from>
      <xdr:col>1</xdr:col>
      <xdr:colOff>93440</xdr:colOff>
      <xdr:row>14</xdr:row>
      <xdr:rowOff>155875</xdr:rowOff>
    </xdr:from>
    <xdr:to>
      <xdr:col>1</xdr:col>
      <xdr:colOff>345440</xdr:colOff>
      <xdr:row>16</xdr:row>
      <xdr:rowOff>42115</xdr:rowOff>
    </xdr:to>
    <xdr:pic>
      <xdr:nvPicPr>
        <xdr:cNvPr id="16" name="Graphic 15" descr="Document with solid fill">
          <a:extLst>
            <a:ext uri="{FF2B5EF4-FFF2-40B4-BE49-F238E27FC236}">
              <a16:creationId xmlns:a16="http://schemas.microsoft.com/office/drawing/2014/main" id="{2817328B-4E76-4BBD-A00E-B9C39D3BF7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91890" y="2733975"/>
          <a:ext cx="252000" cy="254540"/>
        </a:xfrm>
        <a:prstGeom prst="rect">
          <a:avLst/>
        </a:prstGeom>
      </xdr:spPr>
    </xdr:pic>
    <xdr:clientData/>
  </xdr:twoCellAnchor>
  <xdr:twoCellAnchor editAs="oneCell">
    <xdr:from>
      <xdr:col>1</xdr:col>
      <xdr:colOff>93440</xdr:colOff>
      <xdr:row>13</xdr:row>
      <xdr:rowOff>56012</xdr:rowOff>
    </xdr:from>
    <xdr:to>
      <xdr:col>1</xdr:col>
      <xdr:colOff>345440</xdr:colOff>
      <xdr:row>14</xdr:row>
      <xdr:rowOff>125132</xdr:rowOff>
    </xdr:to>
    <xdr:pic>
      <xdr:nvPicPr>
        <xdr:cNvPr id="17" name="Graphic 16" descr="Books with solid fill">
          <a:extLst>
            <a:ext uri="{FF2B5EF4-FFF2-40B4-BE49-F238E27FC236}">
              <a16:creationId xmlns:a16="http://schemas.microsoft.com/office/drawing/2014/main" id="{B7CC2B1D-4E1C-4A0B-996D-D1F654ACEF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91890" y="2449962"/>
          <a:ext cx="252000" cy="253270"/>
        </a:xfrm>
        <a:prstGeom prst="rect">
          <a:avLst/>
        </a:prstGeom>
      </xdr:spPr>
    </xdr:pic>
    <xdr:clientData/>
  </xdr:twoCellAnchor>
  <xdr:twoCellAnchor editAs="oneCell">
    <xdr:from>
      <xdr:col>1</xdr:col>
      <xdr:colOff>93440</xdr:colOff>
      <xdr:row>16</xdr:row>
      <xdr:rowOff>72858</xdr:rowOff>
    </xdr:from>
    <xdr:to>
      <xdr:col>1</xdr:col>
      <xdr:colOff>345440</xdr:colOff>
      <xdr:row>17</xdr:row>
      <xdr:rowOff>141978</xdr:rowOff>
    </xdr:to>
    <xdr:pic>
      <xdr:nvPicPr>
        <xdr:cNvPr id="18" name="Graphic 17" descr="Open book with solid fill">
          <a:extLst>
            <a:ext uri="{FF2B5EF4-FFF2-40B4-BE49-F238E27FC236}">
              <a16:creationId xmlns:a16="http://schemas.microsoft.com/office/drawing/2014/main" id="{4457FF10-A0A5-4AA2-B6D0-B53A37F0C1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91890" y="3019258"/>
          <a:ext cx="252000" cy="253270"/>
        </a:xfrm>
        <a:prstGeom prst="rect">
          <a:avLst/>
        </a:prstGeom>
      </xdr:spPr>
    </xdr:pic>
    <xdr:clientData/>
  </xdr:twoCellAnchor>
  <xdr:twoCellAnchor editAs="oneCell">
    <xdr:from>
      <xdr:col>1</xdr:col>
      <xdr:colOff>93440</xdr:colOff>
      <xdr:row>17</xdr:row>
      <xdr:rowOff>172720</xdr:rowOff>
    </xdr:from>
    <xdr:to>
      <xdr:col>1</xdr:col>
      <xdr:colOff>345440</xdr:colOff>
      <xdr:row>19</xdr:row>
      <xdr:rowOff>58960</xdr:rowOff>
    </xdr:to>
    <xdr:pic>
      <xdr:nvPicPr>
        <xdr:cNvPr id="19" name="Graphic 18" descr="List with solid fill">
          <a:extLst>
            <a:ext uri="{FF2B5EF4-FFF2-40B4-BE49-F238E27FC236}">
              <a16:creationId xmlns:a16="http://schemas.microsoft.com/office/drawing/2014/main" id="{04038F87-E49E-4317-B6BA-FACC210081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91890" y="3303270"/>
          <a:ext cx="252000" cy="254540"/>
        </a:xfrm>
        <a:prstGeom prst="rect">
          <a:avLst/>
        </a:prstGeom>
      </xdr:spPr>
    </xdr:pic>
    <xdr:clientData/>
  </xdr:twoCellAnchor>
  <xdr:twoCellAnchor editAs="absolute">
    <xdr:from>
      <xdr:col>2</xdr:col>
      <xdr:colOff>223520</xdr:colOff>
      <xdr:row>1</xdr:row>
      <xdr:rowOff>5080</xdr:rowOff>
    </xdr:from>
    <xdr:to>
      <xdr:col>10</xdr:col>
      <xdr:colOff>2985770</xdr:colOff>
      <xdr:row>3</xdr:row>
      <xdr:rowOff>101600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E7B9B999-DE76-4B9D-93CE-09DF0B17D727}"/>
            </a:ext>
          </a:extLst>
        </xdr:cNvPr>
        <xdr:cNvSpPr/>
      </xdr:nvSpPr>
      <xdr:spPr>
        <a:xfrm>
          <a:off x="2382520" y="189230"/>
          <a:ext cx="6502400" cy="464820"/>
        </a:xfrm>
        <a:prstGeom prst="rect">
          <a:avLst/>
        </a:prstGeom>
        <a:solidFill>
          <a:schemeClr val="bg1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2800" b="1">
              <a:solidFill>
                <a:sysClr val="windowText" lastClr="000000"/>
              </a:solidFill>
            </a:rPr>
            <a:t>    Inventory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670560</xdr:colOff>
      <xdr:row>1</xdr:row>
      <xdr:rowOff>36831</xdr:rowOff>
    </xdr:from>
    <xdr:to>
      <xdr:col>1</xdr:col>
      <xdr:colOff>1148080</xdr:colOff>
      <xdr:row>3</xdr:row>
      <xdr:rowOff>116841</xdr:rowOff>
    </xdr:to>
    <xdr:pic>
      <xdr:nvPicPr>
        <xdr:cNvPr id="3" name="Graphic 2" descr="Checklist with solid fill">
          <a:extLst>
            <a:ext uri="{FF2B5EF4-FFF2-40B4-BE49-F238E27FC236}">
              <a16:creationId xmlns:a16="http://schemas.microsoft.com/office/drawing/2014/main" id="{B59630A1-12E9-C031-9CCF-64D1134B70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70280" y="219711"/>
          <a:ext cx="477520" cy="445770"/>
        </a:xfrm>
        <a:prstGeom prst="rect">
          <a:avLst/>
        </a:prstGeom>
      </xdr:spPr>
    </xdr:pic>
    <xdr:clientData/>
  </xdr:twoCellAnchor>
  <xdr:twoCellAnchor>
    <xdr:from>
      <xdr:col>1</xdr:col>
      <xdr:colOff>25400</xdr:colOff>
      <xdr:row>3</xdr:row>
      <xdr:rowOff>29210</xdr:rowOff>
    </xdr:from>
    <xdr:to>
      <xdr:col>1</xdr:col>
      <xdr:colOff>1798320</xdr:colOff>
      <xdr:row>6</xdr:row>
      <xdr:rowOff>35560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BA8FEB42-9318-67D3-C52C-49241AD015ED}"/>
            </a:ext>
          </a:extLst>
        </xdr:cNvPr>
        <xdr:cNvSpPr/>
      </xdr:nvSpPr>
      <xdr:spPr>
        <a:xfrm>
          <a:off x="325120" y="577850"/>
          <a:ext cx="1772920" cy="55499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400" b="1">
              <a:solidFill>
                <a:schemeClr val="tx1"/>
              </a:solidFill>
            </a:rPr>
            <a:t>Inventory</a:t>
          </a:r>
          <a:r>
            <a:rPr lang="en-IN" sz="1400" b="1" baseline="0">
              <a:solidFill>
                <a:schemeClr val="tx1"/>
              </a:solidFill>
            </a:rPr>
            <a:t> Management System</a:t>
          </a:r>
          <a:endParaRPr lang="en-IN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391160</xdr:colOff>
      <xdr:row>6</xdr:row>
      <xdr:rowOff>156210</xdr:rowOff>
    </xdr:from>
    <xdr:to>
      <xdr:col>1</xdr:col>
      <xdr:colOff>1854200</xdr:colOff>
      <xdr:row>8</xdr:row>
      <xdr:rowOff>91440</xdr:rowOff>
    </xdr:to>
    <xdr:sp macro="" textlink="">
      <xdr:nvSpPr>
        <xdr:cNvPr id="5" name="Rectangle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F8D19D3-293E-4964-B106-C0EB047C03E6}"/>
            </a:ext>
          </a:extLst>
        </xdr:cNvPr>
        <xdr:cNvSpPr/>
      </xdr:nvSpPr>
      <xdr:spPr>
        <a:xfrm>
          <a:off x="690880" y="1253490"/>
          <a:ext cx="1463040" cy="30099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0" baseline="0">
              <a:solidFill>
                <a:schemeClr val="tx1">
                  <a:lumMod val="50000"/>
                  <a:lumOff val="50000"/>
                </a:schemeClr>
              </a:solidFill>
            </a:rPr>
            <a:t>Dashboard</a:t>
          </a:r>
          <a:endParaRPr lang="en-IN" sz="1400" b="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391160</xdr:colOff>
      <xdr:row>8</xdr:row>
      <xdr:rowOff>78559</xdr:rowOff>
    </xdr:from>
    <xdr:to>
      <xdr:col>1</xdr:col>
      <xdr:colOff>1854200</xdr:colOff>
      <xdr:row>10</xdr:row>
      <xdr:rowOff>13789</xdr:rowOff>
    </xdr:to>
    <xdr:sp macro="" textlink="">
      <xdr:nvSpPr>
        <xdr:cNvPr id="6" name="Rectangle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1DEB14D-0908-4AC7-8CD4-AFBA990F050A}"/>
            </a:ext>
          </a:extLst>
        </xdr:cNvPr>
        <xdr:cNvSpPr/>
      </xdr:nvSpPr>
      <xdr:spPr>
        <a:xfrm>
          <a:off x="690880" y="1541599"/>
          <a:ext cx="1463040" cy="30099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0" baseline="0">
              <a:solidFill>
                <a:schemeClr val="tx1">
                  <a:lumMod val="50000"/>
                  <a:lumOff val="50000"/>
                </a:schemeClr>
              </a:solidFill>
            </a:rPr>
            <a:t>Customers</a:t>
          </a:r>
          <a:endParaRPr lang="en-IN" sz="1400" b="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391160</xdr:colOff>
      <xdr:row>10</xdr:row>
      <xdr:rowOff>908</xdr:rowOff>
    </xdr:from>
    <xdr:to>
      <xdr:col>1</xdr:col>
      <xdr:colOff>1854200</xdr:colOff>
      <xdr:row>11</xdr:row>
      <xdr:rowOff>119018</xdr:rowOff>
    </xdr:to>
    <xdr:sp macro="" textlink="">
      <xdr:nvSpPr>
        <xdr:cNvPr id="7" name="Rectangle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F21FDD4-83C8-415E-A763-D7ADB93FCF80}"/>
            </a:ext>
          </a:extLst>
        </xdr:cNvPr>
        <xdr:cNvSpPr/>
      </xdr:nvSpPr>
      <xdr:spPr>
        <a:xfrm>
          <a:off x="690880" y="1829708"/>
          <a:ext cx="1463040" cy="30099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0" baseline="0">
              <a:solidFill>
                <a:schemeClr val="tx1">
                  <a:lumMod val="50000"/>
                  <a:lumOff val="50000"/>
                </a:schemeClr>
              </a:solidFill>
            </a:rPr>
            <a:t>Products</a:t>
          </a:r>
          <a:endParaRPr lang="en-IN" sz="1400" b="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391160</xdr:colOff>
      <xdr:row>11</xdr:row>
      <xdr:rowOff>106137</xdr:rowOff>
    </xdr:from>
    <xdr:to>
      <xdr:col>1</xdr:col>
      <xdr:colOff>1854200</xdr:colOff>
      <xdr:row>13</xdr:row>
      <xdr:rowOff>41367</xdr:rowOff>
    </xdr:to>
    <xdr:sp macro="" textlink="">
      <xdr:nvSpPr>
        <xdr:cNvPr id="8" name="Rectangle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9169B283-B97A-42A2-988B-4A8DBFC2E386}"/>
            </a:ext>
          </a:extLst>
        </xdr:cNvPr>
        <xdr:cNvSpPr/>
      </xdr:nvSpPr>
      <xdr:spPr>
        <a:xfrm>
          <a:off x="690880" y="2117817"/>
          <a:ext cx="1463040" cy="30099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0" baseline="0">
              <a:solidFill>
                <a:schemeClr val="tx1">
                  <a:lumMod val="50000"/>
                  <a:lumOff val="50000"/>
                </a:schemeClr>
              </a:solidFill>
            </a:rPr>
            <a:t>Vendors</a:t>
          </a:r>
          <a:endParaRPr lang="en-IN" sz="1400" b="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391160</xdr:colOff>
      <xdr:row>14</xdr:row>
      <xdr:rowOff>133715</xdr:rowOff>
    </xdr:from>
    <xdr:to>
      <xdr:col>1</xdr:col>
      <xdr:colOff>1854200</xdr:colOff>
      <xdr:row>16</xdr:row>
      <xdr:rowOff>68945</xdr:rowOff>
    </xdr:to>
    <xdr:sp macro="" textlink="">
      <xdr:nvSpPr>
        <xdr:cNvPr id="9" name="Rectangle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B424BE8-6ECA-4244-ABC4-48546362A7FB}"/>
            </a:ext>
          </a:extLst>
        </xdr:cNvPr>
        <xdr:cNvSpPr/>
      </xdr:nvSpPr>
      <xdr:spPr>
        <a:xfrm>
          <a:off x="690880" y="2694035"/>
          <a:ext cx="1463040" cy="30099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0" baseline="0">
              <a:solidFill>
                <a:schemeClr val="tx1">
                  <a:lumMod val="50000"/>
                  <a:lumOff val="50000"/>
                </a:schemeClr>
              </a:solidFill>
            </a:rPr>
            <a:t>Purchase</a:t>
          </a:r>
          <a:endParaRPr lang="en-IN" sz="1400" b="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391160</xdr:colOff>
      <xdr:row>13</xdr:row>
      <xdr:rowOff>28486</xdr:rowOff>
    </xdr:from>
    <xdr:to>
      <xdr:col>1</xdr:col>
      <xdr:colOff>1854200</xdr:colOff>
      <xdr:row>14</xdr:row>
      <xdr:rowOff>146596</xdr:rowOff>
    </xdr:to>
    <xdr:sp macro="" textlink="">
      <xdr:nvSpPr>
        <xdr:cNvPr id="10" name="Rectangle 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9B558581-0343-479A-9062-50EF1F670C1C}"/>
            </a:ext>
          </a:extLst>
        </xdr:cNvPr>
        <xdr:cNvSpPr/>
      </xdr:nvSpPr>
      <xdr:spPr>
        <a:xfrm>
          <a:off x="690880" y="2405926"/>
          <a:ext cx="1463040" cy="30099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0" baseline="0">
              <a:solidFill>
                <a:schemeClr val="tx1">
                  <a:lumMod val="50000"/>
                  <a:lumOff val="50000"/>
                </a:schemeClr>
              </a:solidFill>
            </a:rPr>
            <a:t>New Entry</a:t>
          </a:r>
          <a:endParaRPr lang="en-IN" sz="1400" b="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391160</xdr:colOff>
      <xdr:row>16</xdr:row>
      <xdr:rowOff>56064</xdr:rowOff>
    </xdr:from>
    <xdr:to>
      <xdr:col>1</xdr:col>
      <xdr:colOff>1854200</xdr:colOff>
      <xdr:row>17</xdr:row>
      <xdr:rowOff>174174</xdr:rowOff>
    </xdr:to>
    <xdr:sp macro="" textlink="">
      <xdr:nvSpPr>
        <xdr:cNvPr id="12" name="Rectangle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DB8CE38E-55AE-4AA2-A0CB-C02B0A46747B}"/>
            </a:ext>
          </a:extLst>
        </xdr:cNvPr>
        <xdr:cNvSpPr/>
      </xdr:nvSpPr>
      <xdr:spPr>
        <a:xfrm>
          <a:off x="690880" y="2982144"/>
          <a:ext cx="1463040" cy="30099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0" baseline="0">
              <a:solidFill>
                <a:schemeClr val="tx1">
                  <a:lumMod val="50000"/>
                  <a:lumOff val="50000"/>
                </a:schemeClr>
              </a:solidFill>
            </a:rPr>
            <a:t>Sales</a:t>
          </a:r>
          <a:endParaRPr lang="en-IN" sz="1400" b="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391160</xdr:colOff>
      <xdr:row>17</xdr:row>
      <xdr:rowOff>161290</xdr:rowOff>
    </xdr:from>
    <xdr:to>
      <xdr:col>1</xdr:col>
      <xdr:colOff>1854200</xdr:colOff>
      <xdr:row>19</xdr:row>
      <xdr:rowOff>96520</xdr:rowOff>
    </xdr:to>
    <xdr:sp macro="" textlink="">
      <xdr:nvSpPr>
        <xdr:cNvPr id="13" name="Rectangle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65B50778-05EE-4C96-BC2A-58DDDCCC1B45}"/>
            </a:ext>
          </a:extLst>
        </xdr:cNvPr>
        <xdr:cNvSpPr/>
      </xdr:nvSpPr>
      <xdr:spPr>
        <a:xfrm>
          <a:off x="690880" y="3270250"/>
          <a:ext cx="1463040" cy="30099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0">
              <a:solidFill>
                <a:schemeClr val="tx1">
                  <a:lumMod val="50000"/>
                  <a:lumOff val="50000"/>
                </a:schemeClr>
              </a:solidFill>
            </a:rPr>
            <a:t>Inventory</a:t>
          </a:r>
        </a:p>
      </xdr:txBody>
    </xdr:sp>
    <xdr:clientData/>
  </xdr:twoCellAnchor>
  <xdr:twoCellAnchor editAs="oneCell">
    <xdr:from>
      <xdr:col>1</xdr:col>
      <xdr:colOff>73171</xdr:colOff>
      <xdr:row>6</xdr:row>
      <xdr:rowOff>148297</xdr:rowOff>
    </xdr:from>
    <xdr:to>
      <xdr:col>1</xdr:col>
      <xdr:colOff>357651</xdr:colOff>
      <xdr:row>8</xdr:row>
      <xdr:rowOff>67017</xdr:rowOff>
    </xdr:to>
    <xdr:pic>
      <xdr:nvPicPr>
        <xdr:cNvPr id="22" name="Graphic 21" descr="Gauge with solid fill">
          <a:extLst>
            <a:ext uri="{FF2B5EF4-FFF2-40B4-BE49-F238E27FC236}">
              <a16:creationId xmlns:a16="http://schemas.microsoft.com/office/drawing/2014/main" id="{81E7100F-781F-D206-349E-FCB6B599CC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72354" y="1247335"/>
          <a:ext cx="284480" cy="285067"/>
        </a:xfrm>
        <a:prstGeom prst="rect">
          <a:avLst/>
        </a:prstGeom>
      </xdr:spPr>
    </xdr:pic>
    <xdr:clientData/>
  </xdr:twoCellAnchor>
  <xdr:twoCellAnchor editAs="oneCell">
    <xdr:from>
      <xdr:col>1</xdr:col>
      <xdr:colOff>93440</xdr:colOff>
      <xdr:row>8</xdr:row>
      <xdr:rowOff>122183</xdr:rowOff>
    </xdr:from>
    <xdr:to>
      <xdr:col>1</xdr:col>
      <xdr:colOff>345440</xdr:colOff>
      <xdr:row>10</xdr:row>
      <xdr:rowOff>8423</xdr:rowOff>
    </xdr:to>
    <xdr:pic>
      <xdr:nvPicPr>
        <xdr:cNvPr id="24" name="Graphic 23" descr="Target Audience with solid fill">
          <a:extLst>
            <a:ext uri="{FF2B5EF4-FFF2-40B4-BE49-F238E27FC236}">
              <a16:creationId xmlns:a16="http://schemas.microsoft.com/office/drawing/2014/main" id="{C31742F0-0CEC-4689-BD9B-5C828EE5B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93160" y="1585223"/>
          <a:ext cx="252000" cy="252000"/>
        </a:xfrm>
        <a:prstGeom prst="rect">
          <a:avLst/>
        </a:prstGeom>
      </xdr:spPr>
    </xdr:pic>
    <xdr:clientData/>
  </xdr:twoCellAnchor>
  <xdr:twoCellAnchor editAs="oneCell">
    <xdr:from>
      <xdr:col>1</xdr:col>
      <xdr:colOff>93440</xdr:colOff>
      <xdr:row>10</xdr:row>
      <xdr:rowOff>39166</xdr:rowOff>
    </xdr:from>
    <xdr:to>
      <xdr:col>1</xdr:col>
      <xdr:colOff>345440</xdr:colOff>
      <xdr:row>11</xdr:row>
      <xdr:rowOff>108286</xdr:rowOff>
    </xdr:to>
    <xdr:pic>
      <xdr:nvPicPr>
        <xdr:cNvPr id="26" name="Graphic 25" descr="Shopping cart with solid fill">
          <a:extLst>
            <a:ext uri="{FF2B5EF4-FFF2-40B4-BE49-F238E27FC236}">
              <a16:creationId xmlns:a16="http://schemas.microsoft.com/office/drawing/2014/main" id="{7F5E0E5C-7468-2141-4C7C-C58EE6A9EA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93160" y="1867966"/>
          <a:ext cx="252000" cy="252000"/>
        </a:xfrm>
        <a:prstGeom prst="rect">
          <a:avLst/>
        </a:prstGeom>
      </xdr:spPr>
    </xdr:pic>
    <xdr:clientData/>
  </xdr:twoCellAnchor>
  <xdr:twoCellAnchor editAs="oneCell">
    <xdr:from>
      <xdr:col>1</xdr:col>
      <xdr:colOff>93440</xdr:colOff>
      <xdr:row>11</xdr:row>
      <xdr:rowOff>139029</xdr:rowOff>
    </xdr:from>
    <xdr:to>
      <xdr:col>1</xdr:col>
      <xdr:colOff>345440</xdr:colOff>
      <xdr:row>13</xdr:row>
      <xdr:rowOff>25269</xdr:rowOff>
    </xdr:to>
    <xdr:pic>
      <xdr:nvPicPr>
        <xdr:cNvPr id="28" name="Graphic 27" descr="Male profile with solid fill">
          <a:extLst>
            <a:ext uri="{FF2B5EF4-FFF2-40B4-BE49-F238E27FC236}">
              <a16:creationId xmlns:a16="http://schemas.microsoft.com/office/drawing/2014/main" id="{4C8C9998-8D2A-06B7-6D1E-BA1D73C6A1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93160" y="2150709"/>
          <a:ext cx="252000" cy="252000"/>
        </a:xfrm>
        <a:prstGeom prst="rect">
          <a:avLst/>
        </a:prstGeom>
      </xdr:spPr>
    </xdr:pic>
    <xdr:clientData/>
  </xdr:twoCellAnchor>
  <xdr:twoCellAnchor editAs="oneCell">
    <xdr:from>
      <xdr:col>1</xdr:col>
      <xdr:colOff>93440</xdr:colOff>
      <xdr:row>14</xdr:row>
      <xdr:rowOff>155875</xdr:rowOff>
    </xdr:from>
    <xdr:to>
      <xdr:col>1</xdr:col>
      <xdr:colOff>345440</xdr:colOff>
      <xdr:row>16</xdr:row>
      <xdr:rowOff>42115</xdr:rowOff>
    </xdr:to>
    <xdr:pic>
      <xdr:nvPicPr>
        <xdr:cNvPr id="30" name="Graphic 29" descr="Document with solid fill">
          <a:extLst>
            <a:ext uri="{FF2B5EF4-FFF2-40B4-BE49-F238E27FC236}">
              <a16:creationId xmlns:a16="http://schemas.microsoft.com/office/drawing/2014/main" id="{8025A293-3F48-102E-1586-11F2D9AB25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93160" y="2716195"/>
          <a:ext cx="252000" cy="252000"/>
        </a:xfrm>
        <a:prstGeom prst="rect">
          <a:avLst/>
        </a:prstGeom>
      </xdr:spPr>
    </xdr:pic>
    <xdr:clientData/>
  </xdr:twoCellAnchor>
  <xdr:twoCellAnchor editAs="oneCell">
    <xdr:from>
      <xdr:col>1</xdr:col>
      <xdr:colOff>93440</xdr:colOff>
      <xdr:row>13</xdr:row>
      <xdr:rowOff>56012</xdr:rowOff>
    </xdr:from>
    <xdr:to>
      <xdr:col>1</xdr:col>
      <xdr:colOff>345440</xdr:colOff>
      <xdr:row>14</xdr:row>
      <xdr:rowOff>125132</xdr:rowOff>
    </xdr:to>
    <xdr:pic>
      <xdr:nvPicPr>
        <xdr:cNvPr id="11" name="Graphic 10" descr="Books with solid fill">
          <a:extLst>
            <a:ext uri="{FF2B5EF4-FFF2-40B4-BE49-F238E27FC236}">
              <a16:creationId xmlns:a16="http://schemas.microsoft.com/office/drawing/2014/main" id="{68E83B21-8729-717D-3BCE-6C2EF6F154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93160" y="2433452"/>
          <a:ext cx="252000" cy="252000"/>
        </a:xfrm>
        <a:prstGeom prst="rect">
          <a:avLst/>
        </a:prstGeom>
      </xdr:spPr>
    </xdr:pic>
    <xdr:clientData/>
  </xdr:twoCellAnchor>
  <xdr:twoCellAnchor editAs="oneCell">
    <xdr:from>
      <xdr:col>1</xdr:col>
      <xdr:colOff>93440</xdr:colOff>
      <xdr:row>16</xdr:row>
      <xdr:rowOff>72858</xdr:rowOff>
    </xdr:from>
    <xdr:to>
      <xdr:col>1</xdr:col>
      <xdr:colOff>345440</xdr:colOff>
      <xdr:row>17</xdr:row>
      <xdr:rowOff>141978</xdr:rowOff>
    </xdr:to>
    <xdr:pic>
      <xdr:nvPicPr>
        <xdr:cNvPr id="15" name="Graphic 14" descr="Open book with solid fill">
          <a:extLst>
            <a:ext uri="{FF2B5EF4-FFF2-40B4-BE49-F238E27FC236}">
              <a16:creationId xmlns:a16="http://schemas.microsoft.com/office/drawing/2014/main" id="{7FEE44A3-ED2E-44B5-B7A6-281B933C39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93160" y="2998938"/>
          <a:ext cx="252000" cy="252000"/>
        </a:xfrm>
        <a:prstGeom prst="rect">
          <a:avLst/>
        </a:prstGeom>
      </xdr:spPr>
    </xdr:pic>
    <xdr:clientData/>
  </xdr:twoCellAnchor>
  <xdr:twoCellAnchor editAs="oneCell">
    <xdr:from>
      <xdr:col>1</xdr:col>
      <xdr:colOff>93440</xdr:colOff>
      <xdr:row>17</xdr:row>
      <xdr:rowOff>172720</xdr:rowOff>
    </xdr:from>
    <xdr:to>
      <xdr:col>1</xdr:col>
      <xdr:colOff>345440</xdr:colOff>
      <xdr:row>19</xdr:row>
      <xdr:rowOff>58960</xdr:rowOff>
    </xdr:to>
    <xdr:pic>
      <xdr:nvPicPr>
        <xdr:cNvPr id="17" name="Graphic 16" descr="List with solid fill">
          <a:extLst>
            <a:ext uri="{FF2B5EF4-FFF2-40B4-BE49-F238E27FC236}">
              <a16:creationId xmlns:a16="http://schemas.microsoft.com/office/drawing/2014/main" id="{5073D3EA-0374-6D1A-9C03-0631B034AA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93160" y="328168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2</xdr:col>
      <xdr:colOff>223520</xdr:colOff>
      <xdr:row>1</xdr:row>
      <xdr:rowOff>5080</xdr:rowOff>
    </xdr:from>
    <xdr:to>
      <xdr:col>13</xdr:col>
      <xdr:colOff>20320</xdr:colOff>
      <xdr:row>3</xdr:row>
      <xdr:rowOff>101600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EE2B9723-A2DF-F823-69DA-B37BEDCF2DA8}"/>
            </a:ext>
          </a:extLst>
        </xdr:cNvPr>
        <xdr:cNvSpPr/>
      </xdr:nvSpPr>
      <xdr:spPr>
        <a:xfrm>
          <a:off x="2382520" y="187960"/>
          <a:ext cx="6502400" cy="462280"/>
        </a:xfrm>
        <a:prstGeom prst="rect">
          <a:avLst/>
        </a:prstGeom>
        <a:solidFill>
          <a:schemeClr val="bg1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2800" b="1">
              <a:solidFill>
                <a:sysClr val="windowText" lastClr="000000"/>
              </a:solidFill>
            </a:rPr>
            <a:t>    Inventory</a:t>
          </a:r>
          <a:r>
            <a:rPr lang="en-IN" sz="2800" b="1" baseline="0">
              <a:solidFill>
                <a:sysClr val="windowText" lastClr="000000"/>
              </a:solidFill>
            </a:rPr>
            <a:t> Management System</a:t>
          </a:r>
          <a:endParaRPr lang="en-IN" sz="2800" b="1">
            <a:solidFill>
              <a:sysClr val="windowText" lastClr="000000"/>
            </a:solidFill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mran Kaur" refreshedDate="46122.669415625001" createdVersion="8" refreshedVersion="8" minRefreshableVersion="3" recordCount="13" xr:uid="{E074429A-EEBB-4178-AF5D-0CC70F422AA5}">
  <cacheSource type="worksheet">
    <worksheetSource name="Table6"/>
  </cacheSource>
  <cacheFields count="8">
    <cacheField name="HSN Code" numFmtId="0">
      <sharedItems/>
    </cacheField>
    <cacheField name="Product Name" numFmtId="0">
      <sharedItems count="11">
        <s v="Smart Watch"/>
        <s v="Laptop"/>
        <s v="Wireless Printer"/>
        <s v="Desktop"/>
        <s v="Mouse"/>
        <s v="RGB Keyboard"/>
        <s v="Camera "/>
        <s v="Headphones"/>
        <s v="Speakers"/>
        <s v="Tablets"/>
        <s v=""/>
      </sharedItems>
    </cacheField>
    <cacheField name="Cost" numFmtId="0">
      <sharedItems containsMixedTypes="1" containsNumber="1" containsInteger="1" minValue="500" maxValue="55000"/>
    </cacheField>
    <cacheField name="P Units" numFmtId="0">
      <sharedItems containsSemiMixedTypes="0" containsString="0" containsNumber="1" containsInteger="1" minValue="0" maxValue="98"/>
    </cacheField>
    <cacheField name="S Units" numFmtId="0">
      <sharedItems containsSemiMixedTypes="0" containsString="0" containsNumber="1" containsInteger="1" minValue="0" maxValue="64"/>
    </cacheField>
    <cacheField name="Stock" numFmtId="0">
      <sharedItems containsSemiMixedTypes="0" containsString="0" containsNumber="1" containsInteger="1" minValue="0" maxValue="54"/>
    </cacheField>
    <cacheField name="Stock Amount" numFmtId="0">
      <sharedItems containsMixedTypes="1" containsNumber="1" containsInteger="1" minValue="0" maxValue="1207500"/>
    </cacheField>
    <cacheField name="Notification 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mran Kaur" refreshedDate="46122.669415856479" createdVersion="8" refreshedVersion="8" minRefreshableVersion="3" recordCount="18" xr:uid="{4603E94E-D88B-4113-94EB-594B6F836D67}">
  <cacheSource type="worksheet">
    <worksheetSource name="Table5"/>
  </cacheSource>
  <cacheFields count="9">
    <cacheField name="Cust ID " numFmtId="0">
      <sharedItems containsString="0" containsBlank="1" containsNumber="1" containsInteger="1" minValue="101" maxValue="108"/>
    </cacheField>
    <cacheField name="Cust Name" numFmtId="0">
      <sharedItems count="9">
        <s v="Priya"/>
        <s v="Nimit"/>
        <s v="Nidhi"/>
        <s v="Suresh"/>
        <s v="Naina"/>
        <s v="Sneha"/>
        <s v="Sunaiana"/>
        <s v="Rakesh"/>
        <s v=""/>
      </sharedItems>
    </cacheField>
    <cacheField name="HSN Code " numFmtId="0">
      <sharedItems containsBlank="1"/>
    </cacheField>
    <cacheField name="Product Name" numFmtId="0">
      <sharedItems containsBlank="1"/>
    </cacheField>
    <cacheField name="Date" numFmtId="0">
      <sharedItems containsNonDate="0" containsDate="1" containsString="0" containsBlank="1" minDate="2026-04-10T00:00:00" maxDate="2026-04-11T00:00:00"/>
    </cacheField>
    <cacheField name="Stock" numFmtId="0">
      <sharedItems containsMixedTypes="1" containsNumber="1" containsInteger="1" minValue="0" maxValue="54"/>
    </cacheField>
    <cacheField name="Units" numFmtId="0">
      <sharedItems containsString="0" containsBlank="1" containsNumber="1" containsInteger="1" minValue="10" maxValue="64"/>
    </cacheField>
    <cacheField name="Price" numFmtId="0">
      <sharedItems containsBlank="1" containsMixedTypes="1" containsNumber="1" containsInteger="1" minValue="700" maxValue="57000"/>
    </cacheField>
    <cacheField name="Amount" numFmtId="0">
      <sharedItems containsBlank="1" containsMixedTypes="1" containsNumber="1" containsInteger="1" minValue="7000" maxValue="3648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mran Kaur" refreshedDate="46122.669416087963" createdVersion="8" refreshedVersion="8" minRefreshableVersion="3" recordCount="12" xr:uid="{59343508-D830-4611-9269-C14215139B25}">
  <cacheSource type="worksheet">
    <worksheetSource name="Purchase_data"/>
  </cacheSource>
  <cacheFields count="7">
    <cacheField name="HSN Code" numFmtId="0">
      <sharedItems/>
    </cacheField>
    <cacheField name="Product Name" numFmtId="0">
      <sharedItems/>
    </cacheField>
    <cacheField name="Vendor" numFmtId="0">
      <sharedItems/>
    </cacheField>
    <cacheField name="Date " numFmtId="0">
      <sharedItems containsNonDate="0" containsString="0" containsBlank="1"/>
    </cacheField>
    <cacheField name="Units" numFmtId="0">
      <sharedItems containsSemiMixedTypes="0" containsString="0" containsNumber="1" containsInteger="1" minValue="1" maxValue="98"/>
    </cacheField>
    <cacheField name="Cost" numFmtId="0">
      <sharedItems containsSemiMixedTypes="0" containsString="0" containsNumber="1" containsInteger="1" minValue="500" maxValue="55000"/>
    </cacheField>
    <cacheField name="Amount" numFmtId="0">
      <sharedItems containsSemiMixedTypes="0" containsString="0" containsNumber="1" containsInteger="1" minValue="980" maxValue="368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mran Kaur" refreshedDate="46122.669416203702" createdVersion="8" refreshedVersion="8" minRefreshableVersion="3" recordCount="10" xr:uid="{A77F9633-0F64-496A-8092-D22F5DDEAF54}">
  <cacheSource type="worksheet">
    <worksheetSource name="Products_data"/>
  </cacheSource>
  <cacheFields count="4">
    <cacheField name="HSN Code " numFmtId="0">
      <sharedItems/>
    </cacheField>
    <cacheField name="Product Name" numFmtId="0">
      <sharedItems/>
    </cacheField>
    <cacheField name="Cost" numFmtId="43">
      <sharedItems containsSemiMixedTypes="0" containsString="0" containsNumber="1" containsInteger="1" minValue="500" maxValue="55000"/>
    </cacheField>
    <cacheField name="Selling Price" numFmtId="43">
      <sharedItems containsSemiMixedTypes="0" containsString="0" containsNumber="1" containsInteger="1" minValue="700" maxValue="57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mran Kaur" refreshedDate="46122.669416319448" createdVersion="8" refreshedVersion="8" minRefreshableVersion="3" recordCount="10" xr:uid="{76BB3872-F66F-4CFF-8363-EC5CA4A0146F}">
  <cacheSource type="worksheet">
    <worksheetSource name="Customers_data"/>
  </cacheSource>
  <cacheFields count="4">
    <cacheField name="Customer ID" numFmtId="0">
      <sharedItems containsSemiMixedTypes="0" containsString="0" containsNumber="1" containsInteger="1" minValue="101" maxValue="110"/>
    </cacheField>
    <cacheField name="Name" numFmtId="0">
      <sharedItems/>
    </cacheField>
    <cacheField name="E-Mail" numFmtId="0">
      <sharedItems/>
    </cacheField>
    <cacheField name="Addres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s v="N1001"/>
    <x v="0"/>
    <n v="980"/>
    <n v="83"/>
    <n v="35"/>
    <n v="48"/>
    <n v="47040"/>
    <s v=""/>
  </r>
  <r>
    <s v="N1002"/>
    <x v="1"/>
    <n v="34500"/>
    <n v="45"/>
    <n v="10"/>
    <n v="35"/>
    <n v="1207500"/>
    <s v=""/>
  </r>
  <r>
    <s v="N1003"/>
    <x v="2"/>
    <n v="5000"/>
    <n v="45"/>
    <n v="39"/>
    <n v="6"/>
    <n v="30000"/>
    <s v=""/>
  </r>
  <r>
    <s v="N1004"/>
    <x v="3"/>
    <n v="20000"/>
    <n v="89"/>
    <n v="35"/>
    <n v="54"/>
    <n v="1080000"/>
    <s v=""/>
  </r>
  <r>
    <s v="N1005"/>
    <x v="4"/>
    <n v="500"/>
    <n v="34"/>
    <n v="28"/>
    <n v="6"/>
    <n v="3000"/>
    <s v=""/>
  </r>
  <r>
    <s v="N1006"/>
    <x v="5"/>
    <n v="2500"/>
    <n v="50"/>
    <n v="50"/>
    <n v="0"/>
    <n v="0"/>
    <s v="📞 RGB Keyboard Needs to re-order !    PH: 9876540321"/>
  </r>
  <r>
    <s v="N1007"/>
    <x v="6"/>
    <n v="55000"/>
    <n v="67"/>
    <n v="64"/>
    <n v="3"/>
    <n v="165000"/>
    <s v="📞 Camera  Needs to re-order !    PH: 9876540321"/>
  </r>
  <r>
    <s v="N1008"/>
    <x v="7"/>
    <n v="800"/>
    <n v="98"/>
    <n v="45"/>
    <n v="53"/>
    <n v="42400"/>
    <s v=""/>
  </r>
  <r>
    <s v="N1009"/>
    <x v="8"/>
    <n v="900"/>
    <n v="45"/>
    <n v="10"/>
    <n v="35"/>
    <n v="31500"/>
    <s v=""/>
  </r>
  <r>
    <s v="N1010"/>
    <x v="9"/>
    <n v="25000"/>
    <n v="23"/>
    <n v="10"/>
    <n v="13"/>
    <n v="325000"/>
    <s v=""/>
  </r>
  <r>
    <s v=""/>
    <x v="10"/>
    <s v=""/>
    <n v="0"/>
    <n v="0"/>
    <n v="0"/>
    <s v=""/>
    <s v=""/>
  </r>
  <r>
    <s v=""/>
    <x v="10"/>
    <s v=""/>
    <n v="0"/>
    <n v="0"/>
    <n v="0"/>
    <s v=""/>
    <s v=""/>
  </r>
  <r>
    <s v=""/>
    <x v="10"/>
    <s v=""/>
    <n v="0"/>
    <n v="0"/>
    <n v="0"/>
    <s v=""/>
    <s v="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n v="107"/>
    <x v="0"/>
    <s v="N1003"/>
    <s v="Wireless Printer"/>
    <d v="2026-04-10T00:00:00"/>
    <n v="6"/>
    <n v="39"/>
    <n v="7000"/>
    <n v="273000"/>
  </r>
  <r>
    <n v="103"/>
    <x v="1"/>
    <s v="N1005"/>
    <s v="Mouse"/>
    <d v="2026-04-10T00:00:00"/>
    <n v="6"/>
    <n v="18"/>
    <n v="700"/>
    <n v="12600"/>
  </r>
  <r>
    <n v="108"/>
    <x v="2"/>
    <s v="N1005"/>
    <s v="Mouse"/>
    <d v="2026-04-10T00:00:00"/>
    <n v="6"/>
    <n v="10"/>
    <n v="700"/>
    <n v="7000"/>
  </r>
  <r>
    <n v="102"/>
    <x v="3"/>
    <s v="N1006"/>
    <s v="RGB Keyboard"/>
    <d v="2026-04-10T00:00:00"/>
    <n v="0"/>
    <n v="50"/>
    <n v="3000"/>
    <n v="150000"/>
  </r>
  <r>
    <n v="104"/>
    <x v="4"/>
    <s v="N1007"/>
    <s v="Camera "/>
    <d v="2026-04-10T00:00:00"/>
    <n v="3"/>
    <n v="64"/>
    <n v="57000"/>
    <n v="3648000"/>
  </r>
  <r>
    <n v="105"/>
    <x v="5"/>
    <s v="N1008"/>
    <s v="Headphones"/>
    <d v="2026-04-10T00:00:00"/>
    <n v="53"/>
    <n v="45"/>
    <n v="1000"/>
    <n v="45000"/>
  </r>
  <r>
    <n v="106"/>
    <x v="6"/>
    <s v="N1009"/>
    <s v="Speakers"/>
    <d v="2026-04-10T00:00:00"/>
    <n v="35"/>
    <n v="10"/>
    <n v="1500"/>
    <n v="15000"/>
  </r>
  <r>
    <n v="107"/>
    <x v="0"/>
    <s v="N1002"/>
    <s v="Laptop"/>
    <d v="2026-04-10T00:00:00"/>
    <n v="35"/>
    <n v="10"/>
    <n v="40000"/>
    <n v="400000"/>
  </r>
  <r>
    <n v="101"/>
    <x v="7"/>
    <s v="N1001"/>
    <s v="Smart Watch"/>
    <d v="2026-04-10T00:00:00"/>
    <n v="48"/>
    <n v="35"/>
    <n v="1200"/>
    <n v="42000"/>
  </r>
  <r>
    <n v="108"/>
    <x v="2"/>
    <s v="N1010"/>
    <s v="Tablets"/>
    <d v="2026-04-10T00:00:00"/>
    <n v="13"/>
    <n v="10"/>
    <n v="27000"/>
    <n v="270000"/>
  </r>
  <r>
    <n v="106"/>
    <x v="6"/>
    <s v="N1004"/>
    <s v="Desktop"/>
    <d v="2026-04-10T00:00:00"/>
    <n v="54"/>
    <n v="20"/>
    <n v="22000"/>
    <n v="440000"/>
  </r>
  <r>
    <n v="103"/>
    <x v="1"/>
    <s v="N1004"/>
    <s v="Desktop"/>
    <d v="2026-04-10T00:00:00"/>
    <n v="54"/>
    <n v="15"/>
    <n v="22000"/>
    <n v="330000"/>
  </r>
  <r>
    <m/>
    <x v="8"/>
    <m/>
    <s v=""/>
    <m/>
    <s v=""/>
    <m/>
    <s v=""/>
    <s v=""/>
  </r>
  <r>
    <m/>
    <x v="8"/>
    <m/>
    <s v=""/>
    <m/>
    <s v=""/>
    <m/>
    <s v=""/>
    <s v=""/>
  </r>
  <r>
    <m/>
    <x v="8"/>
    <m/>
    <s v=""/>
    <m/>
    <s v=""/>
    <m/>
    <s v=""/>
    <s v=""/>
  </r>
  <r>
    <m/>
    <x v="8"/>
    <m/>
    <s v=""/>
    <m/>
    <s v=""/>
    <m/>
    <s v=""/>
    <s v=""/>
  </r>
  <r>
    <m/>
    <x v="8"/>
    <m/>
    <s v=""/>
    <m/>
    <s v=""/>
    <m/>
    <s v=""/>
    <s v=""/>
  </r>
  <r>
    <m/>
    <x v="8"/>
    <m/>
    <m/>
    <m/>
    <s v=""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s v="N1001"/>
    <s v="Smart Watch"/>
    <s v="Tech99"/>
    <m/>
    <n v="1"/>
    <n v="980"/>
    <n v="980"/>
  </r>
  <r>
    <s v="N1004"/>
    <s v="Desktop"/>
    <s v="GG Traders"/>
    <m/>
    <n v="89"/>
    <n v="20000"/>
    <n v="1780000"/>
  </r>
  <r>
    <s v="N1001"/>
    <s v="Smart Watch"/>
    <s v="Tech99"/>
    <m/>
    <n v="70"/>
    <n v="980"/>
    <n v="68600"/>
  </r>
  <r>
    <s v="N1006"/>
    <s v="RGB Keyboard"/>
    <s v="GG Traders"/>
    <m/>
    <n v="50"/>
    <n v="2500"/>
    <n v="125000"/>
  </r>
  <r>
    <s v="N1005"/>
    <s v="Mouse"/>
    <s v="GG Traders"/>
    <m/>
    <n v="34"/>
    <n v="500"/>
    <n v="17000"/>
  </r>
  <r>
    <s v="N1002"/>
    <s v="Laptop"/>
    <s v="Tech99"/>
    <m/>
    <n v="45"/>
    <n v="34500"/>
    <n v="1552500"/>
  </r>
  <r>
    <s v="N1010"/>
    <s v="Tablets"/>
    <s v="Compac"/>
    <m/>
    <n v="23"/>
    <n v="25000"/>
    <n v="575000"/>
  </r>
  <r>
    <s v="N1003"/>
    <s v="Wireless Printer"/>
    <s v="Tech99"/>
    <m/>
    <n v="45"/>
    <n v="5000"/>
    <n v="225000"/>
  </r>
  <r>
    <s v="N1007"/>
    <s v="Camera "/>
    <s v="GG Traders"/>
    <m/>
    <n v="67"/>
    <n v="55000"/>
    <n v="3685000"/>
  </r>
  <r>
    <s v="N1008"/>
    <s v="Headphones"/>
    <s v="Compac"/>
    <m/>
    <n v="98"/>
    <n v="800"/>
    <n v="78400"/>
  </r>
  <r>
    <s v="N1001"/>
    <s v="Smart Watch"/>
    <s v="Tech99"/>
    <m/>
    <n v="12"/>
    <n v="980"/>
    <n v="11760"/>
  </r>
  <r>
    <s v="N1009"/>
    <s v="Speakers"/>
    <s v="Compac"/>
    <m/>
    <n v="45"/>
    <n v="900"/>
    <n v="4050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N1001"/>
    <s v="Smart Watch"/>
    <n v="980"/>
    <n v="1200"/>
  </r>
  <r>
    <s v="N1002"/>
    <s v="Laptop"/>
    <n v="34500"/>
    <n v="40000"/>
  </r>
  <r>
    <s v="N1003"/>
    <s v="Wireless Printer"/>
    <n v="5000"/>
    <n v="7000"/>
  </r>
  <r>
    <s v="N1004"/>
    <s v="Desktop"/>
    <n v="20000"/>
    <n v="22000"/>
  </r>
  <r>
    <s v="N1005"/>
    <s v="Mouse"/>
    <n v="500"/>
    <n v="700"/>
  </r>
  <r>
    <s v="N1006"/>
    <s v="RGB Keyboard"/>
    <n v="2500"/>
    <n v="3000"/>
  </r>
  <r>
    <s v="N1007"/>
    <s v="Camera "/>
    <n v="55000"/>
    <n v="57000"/>
  </r>
  <r>
    <s v="N1008"/>
    <s v="Headphones"/>
    <n v="800"/>
    <n v="1000"/>
  </r>
  <r>
    <s v="N1009"/>
    <s v="Speakers"/>
    <n v="900"/>
    <n v="1500"/>
  </r>
  <r>
    <s v="N1010"/>
    <s v="Tablets"/>
    <n v="25000"/>
    <n v="2700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101"/>
    <s v="Rakesh"/>
    <s v="rakesh67@gmail.com"/>
    <s v="Delhi"/>
  </r>
  <r>
    <n v="102"/>
    <s v="Suresh"/>
    <s v="suresh87@gmail.com"/>
    <s v="Chennai"/>
  </r>
  <r>
    <n v="103"/>
    <s v="Nimit"/>
    <s v="nimit007@gmail.com"/>
    <s v="Pune"/>
  </r>
  <r>
    <n v="104"/>
    <s v="Naina"/>
    <s v="naina67@gmail.com"/>
    <s v="Rajkot"/>
  </r>
  <r>
    <n v="105"/>
    <s v="Sneha"/>
    <s v="sneha67@gmail.com"/>
    <s v="Dehradun"/>
  </r>
  <r>
    <n v="106"/>
    <s v="Sunaiana"/>
    <s v="sunaiana67@gmail.com"/>
    <s v="Meerat"/>
  </r>
  <r>
    <n v="107"/>
    <s v="Priya"/>
    <s v="priya67@gmail.com"/>
    <s v="Manali"/>
  </r>
  <r>
    <n v="108"/>
    <s v="Nidhi"/>
    <s v="nidhi00756@gmail.com"/>
    <s v="Chandigarh"/>
  </r>
  <r>
    <n v="109"/>
    <s v="Drishti"/>
    <s v="drishti@gmail.com"/>
    <s v="Kolkata"/>
  </r>
  <r>
    <n v="110"/>
    <s v="Rudhav"/>
    <s v="rudhav@gmail.com"/>
    <s v="Delhi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5DA91C-78B8-480A-A3A7-1F616149179C}" name="PivotTable10" cacheId="5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25:B36" firstHeaderRow="1" firstDataRow="1" firstDataCol="1"/>
  <pivotFields count="8">
    <pivotField showAll="0"/>
    <pivotField axis="axisRow" showAll="0" sortType="descending">
      <items count="12">
        <item h="1" x="10"/>
        <item x="6"/>
        <item x="3"/>
        <item x="7"/>
        <item x="1"/>
        <item x="4"/>
        <item x="5"/>
        <item x="0"/>
        <item x="8"/>
        <item x="9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11">
    <i>
      <x v="2"/>
    </i>
    <i>
      <x v="3"/>
    </i>
    <i>
      <x v="7"/>
    </i>
    <i>
      <x v="8"/>
    </i>
    <i>
      <x v="4"/>
    </i>
    <i>
      <x v="9"/>
    </i>
    <i>
      <x v="10"/>
    </i>
    <i>
      <x v="5"/>
    </i>
    <i>
      <x v="1"/>
    </i>
    <i>
      <x v="6"/>
    </i>
    <i t="grand">
      <x/>
    </i>
  </rowItems>
  <colItems count="1">
    <i/>
  </colItems>
  <dataFields count="1">
    <dataField name="Sum of Stock" fld="5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FA4564-BA52-4655-B409-3B05350292AC}" name="PivotTable9" cacheId="6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H2:I8" firstHeaderRow="1" firstDataRow="1" firstDataCol="1"/>
  <pivotFields count="9">
    <pivotField showAll="0"/>
    <pivotField axis="axisRow" showAll="0" measureFilter="1" sortType="descending">
      <items count="10">
        <item x="8"/>
        <item x="4"/>
        <item x="2"/>
        <item x="1"/>
        <item x="0"/>
        <item x="7"/>
        <item x="5"/>
        <item x="6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6">
    <i>
      <x v="1"/>
    </i>
    <i>
      <x v="4"/>
    </i>
    <i>
      <x v="7"/>
    </i>
    <i>
      <x v="3"/>
    </i>
    <i>
      <x v="2"/>
    </i>
    <i t="grand">
      <x/>
    </i>
  </rowItems>
  <colItems count="1">
    <i/>
  </colItems>
  <dataFields count="1">
    <dataField name="Sum of Amount" fld="8" baseField="1" baseItem="0" numFmtId="164"/>
  </dataFields>
  <formats count="1">
    <format dxfId="54">
      <pivotArea outline="0" collapsedLevelsAreSubtotals="1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B97112-AA20-4090-A1A7-9A703449E6B8}" name="PivotTable3" cacheId="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8:A9" firstHeaderRow="1" firstDataRow="1" firstDataCol="0"/>
  <pivotFields count="7"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Items count="1">
    <i/>
  </colItems>
  <dataFields count="1">
    <dataField name="Sum of Amoun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6E4041-FBD5-4837-854F-DC0A89C1477C}" name="PivotTable6" cacheId="5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E2:F9" firstHeaderRow="1" firstDataRow="1" firstDataCol="1"/>
  <pivotFields count="8">
    <pivotField showAll="0"/>
    <pivotField axis="axisRow" showAll="0" measureFilter="1" sortType="descending">
      <items count="12">
        <item x="10"/>
        <item x="6"/>
        <item x="3"/>
        <item x="7"/>
        <item x="1"/>
        <item x="4"/>
        <item x="5"/>
        <item x="0"/>
        <item x="8"/>
        <item x="9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</pivotFields>
  <rowFields count="1">
    <field x="1"/>
  </rowFields>
  <rowItems count="7">
    <i>
      <x v="1"/>
    </i>
    <i>
      <x v="6"/>
    </i>
    <i>
      <x v="3"/>
    </i>
    <i>
      <x v="10"/>
    </i>
    <i>
      <x v="2"/>
    </i>
    <i>
      <x v="7"/>
    </i>
    <i t="grand">
      <x/>
    </i>
  </rowItems>
  <colItems count="1">
    <i/>
  </colItems>
  <dataFields count="1">
    <dataField name="Sum of S Units" fld="4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770A24-627D-473A-BBCB-4DA6E4B95A0C}" name="PivotTable5" cacheId="5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6:A17" firstHeaderRow="1" firstDataRow="1" firstDataCol="0"/>
  <pivotFields count="8">
    <pivotField showAll="0"/>
    <pivotField showAll="0"/>
    <pivotField showAll="0"/>
    <pivotField showAll="0"/>
    <pivotField showAll="0"/>
    <pivotField showAll="0"/>
    <pivotField dataField="1" showAll="0"/>
    <pivotField showAll="0"/>
  </pivotFields>
  <rowItems count="1">
    <i/>
  </rowItems>
  <colItems count="1">
    <i/>
  </colItems>
  <dataFields count="1">
    <dataField name="Sum of Stock Amoun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AAEF7E-1D78-44D7-8B0A-E2A1EE26746D}" name="PivotTable7" cacheId="7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1:G28" firstHeaderRow="1" firstDataRow="1" firstDataCol="0"/>
  <pivotFields count="4"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E041AB-40DB-4E0C-9076-E15DC3D72815}" name="PivotTable4" cacheId="6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2:A13" firstHeaderRow="1" firstDataRow="1" firstDataCol="0"/>
  <pivotFields count="9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Items count="1">
    <i/>
  </colItems>
  <dataFields count="1">
    <dataField name="Sum of Amoun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08BB1A-88C3-440F-8980-317518C1C38C}" name="PivotTable2" cacheId="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A6" firstHeaderRow="1" firstDataRow="1" firstDataCol="0"/>
  <pivotFields count="4">
    <pivotField showAll="0"/>
    <pivotField dataField="1" showAll="0"/>
    <pivotField numFmtId="43" showAll="0"/>
    <pivotField numFmtId="43" showAll="0"/>
  </pivotFields>
  <rowItems count="1">
    <i/>
  </rowItems>
  <colItems count="1">
    <i/>
  </colItems>
  <dataFields count="1">
    <dataField name="Count of Product Nam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0A907C-6F8F-40DE-A6FD-BFB2D5EA7CE0}" name="PivotTable1" cacheId="7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A3" firstHeaderRow="1" firstDataRow="1" firstDataCol="0"/>
  <pivotFields count="4">
    <pivotField showAll="0"/>
    <pivotField dataField="1" showAll="0"/>
    <pivotField showAll="0"/>
    <pivotField showAll="0"/>
  </pivotFields>
  <rowItems count="1">
    <i/>
  </rowItems>
  <colItems count="1">
    <i/>
  </colItems>
  <dataFields count="1">
    <dataField name="Count of Nam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7B8797-4127-4624-8790-187FEA904E87}" name="Customers_data" displayName="Customers_data" ref="D6:G16" totalsRowShown="0" headerRowDxfId="53" dataDxfId="52">
  <autoFilter ref="D6:G16" xr:uid="{C47B8797-4127-4624-8790-187FEA904E87}"/>
  <tableColumns count="4">
    <tableColumn id="1" xr3:uid="{E37DE903-A14F-4A80-8FF9-23E1600ADCCF}" name="Customer ID" dataDxfId="51"/>
    <tableColumn id="2" xr3:uid="{9FA74F19-9A92-403B-983E-A47FDF58685D}" name="Name" dataDxfId="50"/>
    <tableColumn id="3" xr3:uid="{1545D3D1-4320-4EA9-9C3C-5298877E957A}" name="E-Mail" dataDxfId="49" dataCellStyle="Hyperlink"/>
    <tableColumn id="4" xr3:uid="{ABB0B700-5FE6-4351-B43B-17CCCD3ECBDC}" name="Address" dataDxfId="48"/>
  </tableColumns>
  <tableStyleInfo name="TableStyleMedium2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E03FDDC-D598-42D5-BCB4-6A6BF9A27C7A}" name="Products_data" displayName="Products_data" ref="D6:G16" totalsRowShown="0" headerRowDxfId="47" dataDxfId="46">
  <autoFilter ref="D6:G16" xr:uid="{FE03FDDC-D598-42D5-BCB4-6A6BF9A27C7A}"/>
  <tableColumns count="4">
    <tableColumn id="1" xr3:uid="{57C01E69-36DC-4224-B0F9-A68D81CC7743}" name="HSN Code " dataDxfId="45"/>
    <tableColumn id="2" xr3:uid="{2E8853F2-834E-4858-A13C-34C50CD68670}" name="Product Name" dataDxfId="44"/>
    <tableColumn id="3" xr3:uid="{21553E0F-5D02-43D9-95DC-464DF27FA6BC}" name="Cost" dataDxfId="43" dataCellStyle="Comma"/>
    <tableColumn id="4" xr3:uid="{AC1DD49D-18CF-4EC0-AF62-95732BBEFE9B}" name="Selling Price" dataDxfId="42" dataCellStyle="Comma"/>
  </tableColumns>
  <tableStyleInfo name="TableStyleMedium2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087AA0E-BA37-42F7-8492-0BF1466A7475}" name="Vendors_data" displayName="Vendors_data" ref="D6:H16" totalsRowShown="0" headerRowDxfId="41" dataDxfId="40" tableBorderDxfId="39">
  <autoFilter ref="D6:H16" xr:uid="{9087AA0E-BA37-42F7-8492-0BF1466A7475}"/>
  <tableColumns count="5">
    <tableColumn id="1" xr3:uid="{BF883244-55D2-4C20-9414-62636EDD4F16}" name="HSN Code " dataDxfId="38"/>
    <tableColumn id="2" xr3:uid="{3995CD84-D9B4-41E0-99E0-3E28324674B1}" name="Product Name" dataDxfId="37"/>
    <tableColumn id="3" xr3:uid="{D89BB4E9-E23D-4B9A-955C-761D919109B1}" name="Vendor Name" dataDxfId="36"/>
    <tableColumn id="4" xr3:uid="{78CCE8E0-4BAB-49C9-B4D7-C5A1C81156B9}" name="Phone " dataDxfId="35"/>
    <tableColumn id="5" xr3:uid="{8A24AF4C-D98A-4F97-96EA-144FA573DDE9}" name="Address" dataDxfId="34"/>
  </tableColumns>
  <tableStyleInfo name="TableStyleMedium2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F72E64D-63A8-458E-80CA-97A61CEAAA70}" name="Purchase_data" displayName="Purchase_data" ref="D6:J18" totalsRowShown="0" headerRowDxfId="33" dataDxfId="32">
  <autoFilter ref="D6:J18" xr:uid="{2F72E64D-63A8-458E-80CA-97A61CEAAA70}"/>
  <tableColumns count="7">
    <tableColumn id="1" xr3:uid="{264DF658-65F2-4925-A77F-E11F7C38AA1B}" name="HSN Code" dataDxfId="31"/>
    <tableColumn id="2" xr3:uid="{A097CCDE-F834-4061-A548-0AC971209677}" name="Product Name" dataDxfId="30">
      <calculatedColumnFormula>IFERROR(VLOOKUP(Purchase_data[[#This Row],[HSN Code]],Products_data[#All],2,0),"")</calculatedColumnFormula>
    </tableColumn>
    <tableColumn id="3" xr3:uid="{D88C12AE-BD26-4C92-BCDE-6B77E82FCF39}" name="Vendor" dataDxfId="29">
      <calculatedColumnFormula>IFERROR(VLOOKUP(Purchase_data[[#This Row],[HSN Code]],Vendors_data[#All],3,0),"")</calculatedColumnFormula>
    </tableColumn>
    <tableColumn id="4" xr3:uid="{5FDAB815-21D1-482B-90D2-E2E2D1C4351E}" name="Date " dataDxfId="28"/>
    <tableColumn id="5" xr3:uid="{45ADB30C-4F60-4A64-820E-4A4296E7D568}" name="Units" dataDxfId="27"/>
    <tableColumn id="6" xr3:uid="{4C4C5C74-D47C-4D08-8BFF-B91213C374B2}" name="Cost" dataDxfId="26">
      <calculatedColumnFormula>IFERROR(VLOOKUP(Purchase_data[[#This Row],[HSN Code]],Products_data[#All],3,0),"")</calculatedColumnFormula>
    </tableColumn>
    <tableColumn id="7" xr3:uid="{F1713DEF-6BD9-4297-B313-9FB927DE2A5B}" name="Amount" dataDxfId="25">
      <calculatedColumnFormula>IFERROR(Purchase_data[[#This Row],[Units]]*Purchase_data[[#This Row],[Cost]],"")</calculatedColumnFormula>
    </tableColumn>
  </tableColumns>
  <tableStyleInfo name="TableStyleMedium2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07E5F6A-257D-476B-BD48-5A516BEF964B}" name="Table5" displayName="Table5" ref="D6:L24" totalsRowShown="0" headerRowDxfId="24" dataDxfId="23">
  <autoFilter ref="D6:L24" xr:uid="{E07E5F6A-257D-476B-BD48-5A516BEF964B}"/>
  <tableColumns count="9">
    <tableColumn id="1" xr3:uid="{20478BC8-DFD9-42FC-8C6D-66D4D775C59D}" name="Cust ID " dataDxfId="22"/>
    <tableColumn id="2" xr3:uid="{403916CF-FBF0-4CB9-9048-65738CF2F7A4}" name="Cust Name" dataDxfId="21">
      <calculatedColumnFormula>IFERROR(VLOOKUP(Sales!D7,Customers_data[#All],2,0),"")</calculatedColumnFormula>
    </tableColumn>
    <tableColumn id="3" xr3:uid="{A6FD3860-824A-4B83-BCC3-2C6E552F70EC}" name="HSN Code " dataDxfId="20"/>
    <tableColumn id="4" xr3:uid="{D412BF59-905F-45AB-B860-AD056B00B76C}" name="Product Name" dataDxfId="19"/>
    <tableColumn id="5" xr3:uid="{09AB0C98-D29F-43A7-AE90-C43EC551596A}" name="Date" dataDxfId="18"/>
    <tableColumn id="6" xr3:uid="{B446B245-2A7C-468B-8BCB-1EBD7A076AF6}" name="Stock" dataDxfId="17">
      <calculatedColumnFormula>IFERROR(VLOOKUP(Table5[[#This Row],[HSN Code ]],Table6[#All],6,0),"")</calculatedColumnFormula>
    </tableColumn>
    <tableColumn id="7" xr3:uid="{46303545-DDBE-4812-B5AE-F17ADB5D4328}" name="Units" dataDxfId="16"/>
    <tableColumn id="8" xr3:uid="{1C1380ED-F9E2-42A0-86BA-00B288287EE3}" name="Price" dataDxfId="15"/>
    <tableColumn id="9" xr3:uid="{A23B3BB6-313E-4429-B156-69D62B367126}" name="Amount" dataDxfId="14"/>
  </tableColumns>
  <tableStyleInfo name="TableStyleMedium2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B9CD327-306C-402A-97A2-1E791859191A}" name="Table6" displayName="Table6" ref="D6:K19" totalsRowShown="0" headerRowDxfId="13" dataDxfId="12">
  <autoFilter ref="D6:K19" xr:uid="{CB9CD327-306C-402A-97A2-1E791859191A}"/>
  <tableColumns count="8">
    <tableColumn id="1" xr3:uid="{D4533ED3-3EC0-4D4E-BED0-E6CCE9350A63}" name="HSN Code" dataDxfId="11">
      <calculatedColumnFormula>IFERROR(Products_data[[#This Row],[HSN Code ]],"")</calculatedColumnFormula>
    </tableColumn>
    <tableColumn id="2" xr3:uid="{96636C95-13D6-4189-8E5D-344943A940F1}" name="Product Name" dataDxfId="10">
      <calculatedColumnFormula>IFERROR(Products_data[[#This Row],[Product Name]],"")</calculatedColumnFormula>
    </tableColumn>
    <tableColumn id="3" xr3:uid="{567311D9-71C6-481B-80FA-0FC8787EAE16}" name="Cost" dataDxfId="9">
      <calculatedColumnFormula>IFERROR(Products_data[[#This Row],[Cost]],"")</calculatedColumnFormula>
    </tableColumn>
    <tableColumn id="4" xr3:uid="{2DD24693-B64E-480A-B5CE-FC11E2284B57}" name="P Units" dataDxfId="8">
      <calculatedColumnFormula>IFERROR(SUMIF(Purchase_data[Product Name],Table6[[#This Row],[Product Name]],Purchase_data[Units]),"")</calculatedColumnFormula>
    </tableColumn>
    <tableColumn id="5" xr3:uid="{D10E46A2-F339-483F-93AD-ECD2CF822F55}" name="S Units" dataDxfId="7">
      <calculatedColumnFormula>SUMIF(Table5[Product Name],Table6[[#This Row],[Product Name]],Table5[Units])</calculatedColumnFormula>
    </tableColumn>
    <tableColumn id="6" xr3:uid="{FA54DB62-E74A-46D3-A75E-D66801B8DF37}" name="Stock" dataDxfId="6">
      <calculatedColumnFormula>Table6[[#This Row],[P Units]]-Table6[[#This Row],[S Units]]</calculatedColumnFormula>
    </tableColumn>
    <tableColumn id="7" xr3:uid="{6131C668-9685-4C33-89EF-CD30212D04F8}" name="Stock Amount" dataDxfId="5">
      <calculatedColumnFormula>IFERROR(Table6[[#This Row],[Cost]]*Table6[[#This Row],[Stock]],"")</calculatedColumnFormula>
    </tableColumn>
    <tableColumn id="10" xr3:uid="{B6BEAF92-6AD1-4A3F-AADB-33A50B7999AC}" name="Notification " dataDxfId="4">
      <calculatedColumnFormula>IFERROR(IF(Table6[[#This Row],[Stock]]&lt;5,"📞 "&amp;Table6[ [#This Row],[Product Name] ]&amp; " Needs to re-order !    PH: "&amp;VLOOKUP(Table6[[#This Row],[HSN Code]],Vendors_data[#All],4,0),""),"")</calculatedColumnFormula>
    </tableColumn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nidhi00756@gmail.com" TargetMode="External"/><Relationship Id="rId3" Type="http://schemas.openxmlformats.org/officeDocument/2006/relationships/hyperlink" Target="mailto:nimit007@gmail.com" TargetMode="External"/><Relationship Id="rId7" Type="http://schemas.openxmlformats.org/officeDocument/2006/relationships/hyperlink" Target="mailto:priya67@gmail.com" TargetMode="External"/><Relationship Id="rId12" Type="http://schemas.openxmlformats.org/officeDocument/2006/relationships/table" Target="../tables/table1.xml"/><Relationship Id="rId2" Type="http://schemas.openxmlformats.org/officeDocument/2006/relationships/hyperlink" Target="mailto:suresh87@gmail.com" TargetMode="External"/><Relationship Id="rId1" Type="http://schemas.openxmlformats.org/officeDocument/2006/relationships/hyperlink" Target="mailto:rakesh67@gmail.com" TargetMode="External"/><Relationship Id="rId6" Type="http://schemas.openxmlformats.org/officeDocument/2006/relationships/hyperlink" Target="mailto:sunaiana67@gmail.com" TargetMode="External"/><Relationship Id="rId11" Type="http://schemas.openxmlformats.org/officeDocument/2006/relationships/drawing" Target="../drawings/drawing2.xml"/><Relationship Id="rId5" Type="http://schemas.openxmlformats.org/officeDocument/2006/relationships/hyperlink" Target="mailto:sneha67@gmail.com" TargetMode="External"/><Relationship Id="rId10" Type="http://schemas.openxmlformats.org/officeDocument/2006/relationships/hyperlink" Target="mailto:rudhav@gmail.com" TargetMode="External"/><Relationship Id="rId4" Type="http://schemas.openxmlformats.org/officeDocument/2006/relationships/hyperlink" Target="mailto:naina67@gmail.com" TargetMode="External"/><Relationship Id="rId9" Type="http://schemas.openxmlformats.org/officeDocument/2006/relationships/hyperlink" Target="mailto:drishti@gmail.com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11657-B316-49B6-B1DA-DAC471344A4F}">
  <dimension ref="A2:I36"/>
  <sheetViews>
    <sheetView topLeftCell="A17" workbookViewId="0">
      <selection activeCell="A26" sqref="A26:A35"/>
    </sheetView>
  </sheetViews>
  <sheetFormatPr defaultRowHeight="14.5" x14ac:dyDescent="0.35"/>
  <cols>
    <col min="1" max="1" width="13.26953125" bestFit="1" customWidth="1"/>
    <col min="2" max="2" width="11.7265625" bestFit="1" customWidth="1"/>
    <col min="3" max="3" width="15.1796875" customWidth="1"/>
    <col min="5" max="5" width="13.7265625" bestFit="1" customWidth="1"/>
    <col min="6" max="6" width="13" bestFit="1" customWidth="1"/>
    <col min="7" max="7" width="15.6328125" bestFit="1" customWidth="1"/>
    <col min="8" max="8" width="12.453125" bestFit="1" customWidth="1"/>
    <col min="9" max="9" width="13.6328125" bestFit="1" customWidth="1"/>
    <col min="10" max="15" width="15.6328125" bestFit="1" customWidth="1"/>
    <col min="16" max="16" width="10.36328125" bestFit="1" customWidth="1"/>
  </cols>
  <sheetData>
    <row r="2" spans="1:9" x14ac:dyDescent="0.35">
      <c r="A2" t="s">
        <v>76</v>
      </c>
      <c r="C2" t="s">
        <v>81</v>
      </c>
      <c r="E2" s="23" t="s">
        <v>90</v>
      </c>
      <c r="F2" t="s">
        <v>91</v>
      </c>
      <c r="H2" s="23" t="s">
        <v>90</v>
      </c>
      <c r="I2" t="s">
        <v>83</v>
      </c>
    </row>
    <row r="3" spans="1:9" x14ac:dyDescent="0.35">
      <c r="A3" s="31">
        <v>10</v>
      </c>
      <c r="C3">
        <f>A3</f>
        <v>10</v>
      </c>
      <c r="E3" s="24" t="s">
        <v>48</v>
      </c>
      <c r="F3" s="31">
        <v>64</v>
      </c>
      <c r="H3" s="24" t="s">
        <v>7</v>
      </c>
      <c r="I3" s="27">
        <v>3648000</v>
      </c>
    </row>
    <row r="4" spans="1:9" x14ac:dyDescent="0.35">
      <c r="E4" s="24" t="s">
        <v>47</v>
      </c>
      <c r="F4" s="31">
        <v>50</v>
      </c>
      <c r="H4" s="24" t="s">
        <v>10</v>
      </c>
      <c r="I4" s="27">
        <v>673000</v>
      </c>
    </row>
    <row r="5" spans="1:9" x14ac:dyDescent="0.35">
      <c r="A5" t="s">
        <v>80</v>
      </c>
      <c r="C5" t="s">
        <v>82</v>
      </c>
      <c r="E5" s="24" t="s">
        <v>49</v>
      </c>
      <c r="F5" s="31">
        <v>45</v>
      </c>
      <c r="H5" s="24" t="s">
        <v>9</v>
      </c>
      <c r="I5" s="27">
        <v>455000</v>
      </c>
    </row>
    <row r="6" spans="1:9" x14ac:dyDescent="0.35">
      <c r="A6" s="31">
        <v>10</v>
      </c>
      <c r="C6">
        <f>A6</f>
        <v>10</v>
      </c>
      <c r="E6" s="24" t="s">
        <v>44</v>
      </c>
      <c r="F6" s="31">
        <v>39</v>
      </c>
      <c r="H6" s="24" t="s">
        <v>6</v>
      </c>
      <c r="I6" s="27">
        <v>342600</v>
      </c>
    </row>
    <row r="7" spans="1:9" x14ac:dyDescent="0.35">
      <c r="E7" s="24" t="s">
        <v>45</v>
      </c>
      <c r="F7" s="31">
        <v>35</v>
      </c>
      <c r="H7" s="24" t="s">
        <v>25</v>
      </c>
      <c r="I7" s="27">
        <v>277000</v>
      </c>
    </row>
    <row r="8" spans="1:9" x14ac:dyDescent="0.35">
      <c r="A8" t="s">
        <v>83</v>
      </c>
      <c r="C8" t="s">
        <v>84</v>
      </c>
      <c r="E8" s="24" t="s">
        <v>42</v>
      </c>
      <c r="F8" s="31">
        <v>35</v>
      </c>
      <c r="H8" s="24" t="s">
        <v>89</v>
      </c>
      <c r="I8" s="27">
        <v>5395600</v>
      </c>
    </row>
    <row r="9" spans="1:9" x14ac:dyDescent="0.35">
      <c r="A9" s="31">
        <v>8159740</v>
      </c>
      <c r="C9" s="21">
        <f>A9</f>
        <v>8159740</v>
      </c>
      <c r="E9" s="24" t="s">
        <v>89</v>
      </c>
      <c r="F9" s="31">
        <v>268</v>
      </c>
    </row>
    <row r="11" spans="1:9" x14ac:dyDescent="0.35">
      <c r="E11" s="12"/>
      <c r="F11" s="13"/>
      <c r="G11" s="14"/>
    </row>
    <row r="12" spans="1:9" x14ac:dyDescent="0.35">
      <c r="A12" t="s">
        <v>83</v>
      </c>
      <c r="C12" t="s">
        <v>85</v>
      </c>
      <c r="E12" s="15"/>
      <c r="F12" s="16"/>
      <c r="G12" s="17"/>
    </row>
    <row r="13" spans="1:9" x14ac:dyDescent="0.35">
      <c r="A13" s="31">
        <v>5632600</v>
      </c>
      <c r="C13" s="21">
        <f>A13</f>
        <v>5632600</v>
      </c>
      <c r="E13" s="15"/>
      <c r="F13" s="16"/>
      <c r="G13" s="17"/>
    </row>
    <row r="14" spans="1:9" x14ac:dyDescent="0.35">
      <c r="E14" s="15"/>
      <c r="F14" s="16"/>
      <c r="G14" s="17"/>
    </row>
    <row r="15" spans="1:9" x14ac:dyDescent="0.35">
      <c r="E15" s="15"/>
      <c r="F15" s="16"/>
      <c r="G15" s="17"/>
    </row>
    <row r="16" spans="1:9" x14ac:dyDescent="0.35">
      <c r="A16" t="s">
        <v>86</v>
      </c>
      <c r="C16" t="s">
        <v>87</v>
      </c>
      <c r="E16" s="15"/>
      <c r="F16" s="16"/>
      <c r="G16" s="17"/>
    </row>
    <row r="17" spans="1:7" x14ac:dyDescent="0.35">
      <c r="A17" s="31">
        <v>2931440</v>
      </c>
      <c r="C17" s="21">
        <f>A17</f>
        <v>2931440</v>
      </c>
      <c r="E17" s="15"/>
      <c r="F17" s="16"/>
      <c r="G17" s="17"/>
    </row>
    <row r="18" spans="1:7" x14ac:dyDescent="0.35">
      <c r="E18" s="15"/>
      <c r="F18" s="16"/>
      <c r="G18" s="17"/>
    </row>
    <row r="19" spans="1:7" x14ac:dyDescent="0.35">
      <c r="C19" t="s">
        <v>88</v>
      </c>
      <c r="E19" s="15"/>
      <c r="F19" s="16"/>
      <c r="G19" s="17"/>
    </row>
    <row r="20" spans="1:7" x14ac:dyDescent="0.35">
      <c r="C20" s="22">
        <f>C17+C13-C9</f>
        <v>404300</v>
      </c>
      <c r="E20" s="15"/>
      <c r="F20" s="16"/>
      <c r="G20" s="17"/>
    </row>
    <row r="21" spans="1:7" x14ac:dyDescent="0.35">
      <c r="E21" s="15"/>
      <c r="F21" s="16"/>
      <c r="G21" s="17"/>
    </row>
    <row r="22" spans="1:7" x14ac:dyDescent="0.35">
      <c r="E22" s="15"/>
      <c r="F22" s="16"/>
      <c r="G22" s="17"/>
    </row>
    <row r="23" spans="1:7" x14ac:dyDescent="0.35">
      <c r="E23" s="15"/>
      <c r="F23" s="16"/>
      <c r="G23" s="17"/>
    </row>
    <row r="24" spans="1:7" x14ac:dyDescent="0.35">
      <c r="E24" s="15"/>
      <c r="F24" s="16"/>
      <c r="G24" s="17"/>
    </row>
    <row r="25" spans="1:7" x14ac:dyDescent="0.35">
      <c r="A25" s="23" t="s">
        <v>90</v>
      </c>
      <c r="B25" t="s">
        <v>94</v>
      </c>
      <c r="E25" s="15"/>
      <c r="F25" s="16"/>
      <c r="G25" s="17"/>
    </row>
    <row r="26" spans="1:7" x14ac:dyDescent="0.35">
      <c r="A26" s="24" t="s">
        <v>45</v>
      </c>
      <c r="B26" s="31">
        <v>54</v>
      </c>
      <c r="E26" s="15"/>
      <c r="F26" s="16"/>
      <c r="G26" s="17"/>
    </row>
    <row r="27" spans="1:7" x14ac:dyDescent="0.35">
      <c r="A27" s="24" t="s">
        <v>49</v>
      </c>
      <c r="B27" s="31">
        <v>53</v>
      </c>
      <c r="E27" s="15"/>
      <c r="F27" s="16"/>
      <c r="G27" s="17"/>
    </row>
    <row r="28" spans="1:7" x14ac:dyDescent="0.35">
      <c r="A28" s="24" t="s">
        <v>42</v>
      </c>
      <c r="B28" s="31">
        <v>48</v>
      </c>
      <c r="E28" s="18"/>
      <c r="F28" s="19"/>
      <c r="G28" s="20"/>
    </row>
    <row r="29" spans="1:7" x14ac:dyDescent="0.35">
      <c r="A29" s="24" t="s">
        <v>50</v>
      </c>
      <c r="B29" s="31">
        <v>35</v>
      </c>
    </row>
    <row r="30" spans="1:7" x14ac:dyDescent="0.35">
      <c r="A30" s="24" t="s">
        <v>43</v>
      </c>
      <c r="B30" s="31">
        <v>35</v>
      </c>
    </row>
    <row r="31" spans="1:7" x14ac:dyDescent="0.35">
      <c r="A31" s="24" t="s">
        <v>51</v>
      </c>
      <c r="B31" s="31">
        <v>13</v>
      </c>
    </row>
    <row r="32" spans="1:7" x14ac:dyDescent="0.35">
      <c r="A32" s="24" t="s">
        <v>44</v>
      </c>
      <c r="B32" s="31">
        <v>6</v>
      </c>
    </row>
    <row r="33" spans="1:2" x14ac:dyDescent="0.35">
      <c r="A33" s="24" t="s">
        <v>46</v>
      </c>
      <c r="B33" s="31">
        <v>6</v>
      </c>
    </row>
    <row r="34" spans="1:2" x14ac:dyDescent="0.35">
      <c r="A34" s="24" t="s">
        <v>48</v>
      </c>
      <c r="B34" s="31">
        <v>3</v>
      </c>
    </row>
    <row r="35" spans="1:2" x14ac:dyDescent="0.35">
      <c r="A35" s="24" t="s">
        <v>47</v>
      </c>
      <c r="B35" s="31">
        <v>0</v>
      </c>
    </row>
    <row r="36" spans="1:2" x14ac:dyDescent="0.35">
      <c r="A36" s="24" t="s">
        <v>89</v>
      </c>
      <c r="B36" s="31">
        <v>253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575D2-BC6A-4A03-815C-FE3170FCC576}">
  <dimension ref="B1:R31"/>
  <sheetViews>
    <sheetView showGridLines="0" showRowColHeaders="0" tabSelected="1" zoomScale="108" workbookViewId="0"/>
  </sheetViews>
  <sheetFormatPr defaultRowHeight="14.5" x14ac:dyDescent="0.35"/>
  <cols>
    <col min="1" max="1" width="4.26953125" style="1" customWidth="1"/>
    <col min="2" max="2" width="26.6328125" style="2" customWidth="1"/>
    <col min="3" max="3" width="3.1796875" style="1" customWidth="1"/>
    <col min="4" max="16384" width="8.7265625" style="1"/>
  </cols>
  <sheetData>
    <row r="1" spans="13:18" s="1" customFormat="1" x14ac:dyDescent="0.35"/>
    <row r="9" spans="13:18" ht="13" customHeight="1" x14ac:dyDescent="0.35"/>
    <row r="10" spans="13:18" ht="18.5" customHeight="1" x14ac:dyDescent="0.45">
      <c r="M10" s="25" t="s">
        <v>92</v>
      </c>
      <c r="N10" s="26"/>
      <c r="O10" s="26"/>
      <c r="P10" s="26"/>
      <c r="Q10" s="26"/>
      <c r="R10" s="26"/>
    </row>
    <row r="11" spans="13:18" ht="17" customHeight="1" x14ac:dyDescent="0.35">
      <c r="M11" s="2"/>
      <c r="N11" s="2"/>
      <c r="O11" s="2"/>
      <c r="P11" s="2"/>
      <c r="Q11" s="2"/>
      <c r="R11" s="2"/>
    </row>
    <row r="12" spans="13:18" x14ac:dyDescent="0.35">
      <c r="M12" s="2" t="str" cm="1">
        <f t="array" ref="M12:M13">_xlfn._xlws.FILTER(Table6[[Notification ]],Table6[[Notification ]]&lt;&gt;"")</f>
        <v>📞 RGB Keyboard Needs to re-order !    PH: 9876540321</v>
      </c>
      <c r="N12" s="2"/>
      <c r="O12" s="2"/>
      <c r="P12" s="2"/>
      <c r="Q12" s="2"/>
      <c r="R12" s="2"/>
    </row>
    <row r="13" spans="13:18" x14ac:dyDescent="0.35">
      <c r="M13" s="2" t="str">
        <v>📞 Camera  Needs to re-order !    PH: 9876540321</v>
      </c>
      <c r="N13" s="2"/>
      <c r="O13" s="2"/>
      <c r="P13" s="2"/>
      <c r="Q13" s="2"/>
      <c r="R13" s="2"/>
    </row>
    <row r="14" spans="13:18" x14ac:dyDescent="0.35">
      <c r="M14" s="2"/>
      <c r="N14" s="2"/>
      <c r="O14" s="2"/>
      <c r="P14" s="2"/>
      <c r="Q14" s="2"/>
      <c r="R14" s="2"/>
    </row>
    <row r="15" spans="13:18" x14ac:dyDescent="0.35">
      <c r="M15" s="2"/>
      <c r="N15" s="2"/>
      <c r="O15" s="2"/>
      <c r="P15" s="2"/>
      <c r="Q15" s="2"/>
      <c r="R15" s="2"/>
    </row>
    <row r="16" spans="13:18" x14ac:dyDescent="0.35">
      <c r="M16" s="2"/>
      <c r="N16" s="2"/>
      <c r="O16" s="2"/>
      <c r="P16" s="2"/>
      <c r="Q16" s="2"/>
      <c r="R16" s="2"/>
    </row>
    <row r="17" spans="2:18" x14ac:dyDescent="0.35">
      <c r="M17" s="2"/>
      <c r="N17" s="2"/>
      <c r="O17" s="2"/>
      <c r="P17" s="2"/>
      <c r="Q17" s="2"/>
      <c r="R17" s="2"/>
    </row>
    <row r="18" spans="2:18" x14ac:dyDescent="0.35">
      <c r="M18" s="2"/>
      <c r="N18" s="2"/>
      <c r="O18" s="2"/>
      <c r="P18" s="2"/>
      <c r="Q18" s="2"/>
      <c r="R18" s="2"/>
    </row>
    <row r="19" spans="2:18" x14ac:dyDescent="0.35">
      <c r="M19" s="2"/>
      <c r="N19" s="2"/>
      <c r="O19" s="2"/>
      <c r="P19" s="2"/>
      <c r="Q19" s="2"/>
      <c r="R19" s="2"/>
    </row>
    <row r="20" spans="2:18" x14ac:dyDescent="0.35">
      <c r="M20" s="2"/>
      <c r="N20" s="2"/>
      <c r="O20" s="2"/>
      <c r="P20" s="2"/>
      <c r="Q20" s="2"/>
      <c r="R20" s="2"/>
    </row>
    <row r="21" spans="2:18" x14ac:dyDescent="0.35">
      <c r="M21" s="2"/>
      <c r="N21" s="2"/>
      <c r="O21" s="2"/>
      <c r="P21" s="2"/>
      <c r="Q21" s="2"/>
      <c r="R21" s="2"/>
    </row>
    <row r="22" spans="2:18" x14ac:dyDescent="0.35">
      <c r="M22" s="2"/>
      <c r="N22" s="2"/>
      <c r="O22" s="2"/>
      <c r="P22" s="2"/>
      <c r="Q22" s="2"/>
      <c r="R22" s="2"/>
    </row>
    <row r="23" spans="2:18" x14ac:dyDescent="0.35">
      <c r="M23" s="2"/>
      <c r="N23" s="2"/>
      <c r="O23" s="2"/>
      <c r="P23" s="2"/>
      <c r="Q23" s="2"/>
      <c r="R23" s="2"/>
    </row>
    <row r="24" spans="2:18" x14ac:dyDescent="0.35">
      <c r="M24" s="2"/>
      <c r="N24" s="2"/>
      <c r="O24" s="2"/>
      <c r="P24" s="2"/>
      <c r="Q24" s="2"/>
      <c r="R24" s="2"/>
    </row>
    <row r="25" spans="2:18" x14ac:dyDescent="0.35">
      <c r="M25" s="2"/>
      <c r="N25" s="2"/>
      <c r="O25" s="2"/>
      <c r="P25" s="2"/>
      <c r="Q25" s="2"/>
      <c r="R25" s="2"/>
    </row>
    <row r="26" spans="2:18" x14ac:dyDescent="0.35">
      <c r="B26" s="1"/>
    </row>
    <row r="27" spans="2:18" x14ac:dyDescent="0.35">
      <c r="B27" s="1"/>
    </row>
    <row r="28" spans="2:18" x14ac:dyDescent="0.35">
      <c r="B28" s="1"/>
    </row>
    <row r="29" spans="2:18" x14ac:dyDescent="0.35">
      <c r="B29" s="1"/>
    </row>
    <row r="30" spans="2:18" x14ac:dyDescent="0.35">
      <c r="B30" s="1"/>
    </row>
    <row r="31" spans="2:18" x14ac:dyDescent="0.35">
      <c r="B31" s="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FCC3D-F4B6-44FE-854D-4459ED54C210}">
  <dimension ref="B1:G16"/>
  <sheetViews>
    <sheetView workbookViewId="0">
      <selection activeCell="D17" sqref="D17"/>
    </sheetView>
  </sheetViews>
  <sheetFormatPr defaultRowHeight="14.5" x14ac:dyDescent="0.35"/>
  <cols>
    <col min="1" max="1" width="4.26953125" style="1" customWidth="1"/>
    <col min="2" max="2" width="26.6328125" style="2" customWidth="1"/>
    <col min="3" max="3" width="3.1796875" style="1" customWidth="1"/>
    <col min="4" max="4" width="13.453125" style="1" bestFit="1" customWidth="1"/>
    <col min="5" max="5" width="10.54296875" style="1" bestFit="1" customWidth="1"/>
    <col min="6" max="6" width="26" style="1" bestFit="1" customWidth="1"/>
    <col min="7" max="7" width="12.81640625" style="1" bestFit="1" customWidth="1"/>
    <col min="8" max="16384" width="8.7265625" style="1"/>
  </cols>
  <sheetData>
    <row r="1" spans="2:7" x14ac:dyDescent="0.35">
      <c r="B1" s="1"/>
    </row>
    <row r="6" spans="2:7" ht="18.5" x14ac:dyDescent="0.45">
      <c r="D6" s="28" t="s">
        <v>0</v>
      </c>
      <c r="E6" s="28" t="s">
        <v>1</v>
      </c>
      <c r="F6" s="28" t="s">
        <v>2</v>
      </c>
      <c r="G6" s="28" t="s">
        <v>3</v>
      </c>
    </row>
    <row r="7" spans="2:7" ht="18.5" x14ac:dyDescent="0.45">
      <c r="D7" s="29">
        <v>101</v>
      </c>
      <c r="E7" s="29" t="s">
        <v>4</v>
      </c>
      <c r="F7" s="30" t="s">
        <v>11</v>
      </c>
      <c r="G7" s="29" t="s">
        <v>18</v>
      </c>
    </row>
    <row r="8" spans="2:7" ht="18.5" x14ac:dyDescent="0.45">
      <c r="D8" s="29">
        <v>102</v>
      </c>
      <c r="E8" s="29" t="s">
        <v>5</v>
      </c>
      <c r="F8" s="30" t="s">
        <v>16</v>
      </c>
      <c r="G8" s="29" t="s">
        <v>19</v>
      </c>
    </row>
    <row r="9" spans="2:7" ht="18.5" x14ac:dyDescent="0.45">
      <c r="D9" s="29">
        <v>103</v>
      </c>
      <c r="E9" s="29" t="s">
        <v>6</v>
      </c>
      <c r="F9" s="30" t="s">
        <v>17</v>
      </c>
      <c r="G9" s="29" t="s">
        <v>20</v>
      </c>
    </row>
    <row r="10" spans="2:7" ht="18.5" x14ac:dyDescent="0.45">
      <c r="D10" s="29">
        <v>104</v>
      </c>
      <c r="E10" s="29" t="s">
        <v>7</v>
      </c>
      <c r="F10" s="30" t="s">
        <v>12</v>
      </c>
      <c r="G10" s="29" t="s">
        <v>21</v>
      </c>
    </row>
    <row r="11" spans="2:7" ht="18.5" x14ac:dyDescent="0.45">
      <c r="D11" s="29">
        <v>105</v>
      </c>
      <c r="E11" s="29" t="s">
        <v>8</v>
      </c>
      <c r="F11" s="30" t="s">
        <v>13</v>
      </c>
      <c r="G11" s="29" t="s">
        <v>22</v>
      </c>
    </row>
    <row r="12" spans="2:7" ht="18.5" x14ac:dyDescent="0.45">
      <c r="D12" s="29">
        <v>106</v>
      </c>
      <c r="E12" s="29" t="s">
        <v>9</v>
      </c>
      <c r="F12" s="30" t="s">
        <v>14</v>
      </c>
      <c r="G12" s="29" t="s">
        <v>23</v>
      </c>
    </row>
    <row r="13" spans="2:7" ht="18.5" x14ac:dyDescent="0.45">
      <c r="D13" s="29">
        <v>107</v>
      </c>
      <c r="E13" s="29" t="s">
        <v>10</v>
      </c>
      <c r="F13" s="30" t="s">
        <v>15</v>
      </c>
      <c r="G13" s="29" t="s">
        <v>24</v>
      </c>
    </row>
    <row r="14" spans="2:7" ht="18.5" x14ac:dyDescent="0.45">
      <c r="D14" s="29">
        <v>108</v>
      </c>
      <c r="E14" s="29" t="s">
        <v>25</v>
      </c>
      <c r="F14" s="30" t="s">
        <v>26</v>
      </c>
      <c r="G14" s="29" t="s">
        <v>27</v>
      </c>
    </row>
    <row r="15" spans="2:7" ht="18.5" x14ac:dyDescent="0.45">
      <c r="D15" s="29">
        <v>109</v>
      </c>
      <c r="E15" s="29" t="s">
        <v>77</v>
      </c>
      <c r="F15" s="30" t="s">
        <v>78</v>
      </c>
      <c r="G15" s="29" t="s">
        <v>79</v>
      </c>
    </row>
    <row r="16" spans="2:7" ht="18.5" x14ac:dyDescent="0.45">
      <c r="D16" s="29">
        <v>110</v>
      </c>
      <c r="E16" s="29" t="s">
        <v>95</v>
      </c>
      <c r="F16" s="30" t="s">
        <v>96</v>
      </c>
      <c r="G16" s="29" t="s">
        <v>18</v>
      </c>
    </row>
  </sheetData>
  <hyperlinks>
    <hyperlink ref="F7" r:id="rId1" xr:uid="{E92E2BD3-CEFE-4081-9F68-5258A510820C}"/>
    <hyperlink ref="F8" r:id="rId2" xr:uid="{9213F7D7-50FB-4700-BBA9-53B64E7454FA}"/>
    <hyperlink ref="F9" r:id="rId3" xr:uid="{F990391A-68D4-45AA-BB5F-F3014F2A4D87}"/>
    <hyperlink ref="F10" r:id="rId4" xr:uid="{EE5AB07D-9FBF-4092-AA42-5C4F30CF3B3A}"/>
    <hyperlink ref="F11" r:id="rId5" xr:uid="{0BA1A85F-5CDB-41D7-9AB3-216D1742B179}"/>
    <hyperlink ref="F12" r:id="rId6" xr:uid="{B4215BB6-C971-4512-999A-71AC563BA4A8}"/>
    <hyperlink ref="F13" r:id="rId7" xr:uid="{F3A23B5A-4F02-4615-AEC5-402714E8834C}"/>
    <hyperlink ref="F14" r:id="rId8" xr:uid="{791745E9-03DD-4082-9F33-D1EC2897FABB}"/>
    <hyperlink ref="F15" r:id="rId9" xr:uid="{1552D3DA-C281-429E-B555-6D46C81FCF56}"/>
    <hyperlink ref="F16" r:id="rId10" xr:uid="{A143662D-A444-4271-8942-E509E2FF4D23}"/>
  </hyperlinks>
  <pageMargins left="0.7" right="0.7" top="0.75" bottom="0.75" header="0.3" footer="0.3"/>
  <drawing r:id="rId11"/>
  <tableParts count="1">
    <tablePart r:id="rId1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AD5AC-B5FF-40FD-826A-3EB3BA9C9148}">
  <dimension ref="B1:G16"/>
  <sheetViews>
    <sheetView workbookViewId="0"/>
  </sheetViews>
  <sheetFormatPr defaultRowHeight="14.5" x14ac:dyDescent="0.35"/>
  <cols>
    <col min="1" max="1" width="4.26953125" style="1" customWidth="1"/>
    <col min="2" max="2" width="26.6328125" style="2" customWidth="1"/>
    <col min="3" max="3" width="3.36328125" style="1" customWidth="1"/>
    <col min="4" max="4" width="11.54296875" style="1" customWidth="1"/>
    <col min="5" max="5" width="18.08984375" style="1" customWidth="1"/>
    <col min="6" max="6" width="10.90625" style="1" customWidth="1"/>
    <col min="7" max="7" width="13.1796875" style="1" customWidth="1"/>
    <col min="8" max="8" width="8.7265625" style="1"/>
    <col min="9" max="9" width="10.26953125" style="1" customWidth="1"/>
    <col min="10" max="16384" width="8.7265625" style="1"/>
  </cols>
  <sheetData>
    <row r="1" spans="2:7" x14ac:dyDescent="0.35">
      <c r="B1" s="1"/>
    </row>
    <row r="6" spans="2:7" x14ac:dyDescent="0.35">
      <c r="D6" s="3" t="s">
        <v>28</v>
      </c>
      <c r="E6" s="3" t="s">
        <v>29</v>
      </c>
      <c r="F6" s="3" t="s">
        <v>30</v>
      </c>
      <c r="G6" s="3" t="s">
        <v>31</v>
      </c>
    </row>
    <row r="7" spans="2:7" x14ac:dyDescent="0.35">
      <c r="D7" s="3" t="s">
        <v>32</v>
      </c>
      <c r="E7" s="3" t="s">
        <v>42</v>
      </c>
      <c r="F7" s="4">
        <v>980</v>
      </c>
      <c r="G7" s="4">
        <v>1200</v>
      </c>
    </row>
    <row r="8" spans="2:7" x14ac:dyDescent="0.35">
      <c r="D8" s="3" t="s">
        <v>33</v>
      </c>
      <c r="E8" s="3" t="s">
        <v>43</v>
      </c>
      <c r="F8" s="4">
        <v>34500</v>
      </c>
      <c r="G8" s="4">
        <v>40000</v>
      </c>
    </row>
    <row r="9" spans="2:7" x14ac:dyDescent="0.35">
      <c r="D9" s="3" t="s">
        <v>34</v>
      </c>
      <c r="E9" s="3" t="s">
        <v>44</v>
      </c>
      <c r="F9" s="4">
        <v>5000</v>
      </c>
      <c r="G9" s="4">
        <v>7000</v>
      </c>
    </row>
    <row r="10" spans="2:7" x14ac:dyDescent="0.35">
      <c r="D10" s="3" t="s">
        <v>35</v>
      </c>
      <c r="E10" s="3" t="s">
        <v>45</v>
      </c>
      <c r="F10" s="4">
        <v>20000</v>
      </c>
      <c r="G10" s="4">
        <v>22000</v>
      </c>
    </row>
    <row r="11" spans="2:7" x14ac:dyDescent="0.35">
      <c r="D11" s="3" t="s">
        <v>36</v>
      </c>
      <c r="E11" s="3" t="s">
        <v>46</v>
      </c>
      <c r="F11" s="4">
        <v>500</v>
      </c>
      <c r="G11" s="4">
        <v>700</v>
      </c>
    </row>
    <row r="12" spans="2:7" x14ac:dyDescent="0.35">
      <c r="D12" s="3" t="s">
        <v>37</v>
      </c>
      <c r="E12" s="3" t="s">
        <v>47</v>
      </c>
      <c r="F12" s="4">
        <v>2500</v>
      </c>
      <c r="G12" s="4">
        <v>3000</v>
      </c>
    </row>
    <row r="13" spans="2:7" x14ac:dyDescent="0.35">
      <c r="D13" s="3" t="s">
        <v>38</v>
      </c>
      <c r="E13" s="3" t="s">
        <v>48</v>
      </c>
      <c r="F13" s="4">
        <v>55000</v>
      </c>
      <c r="G13" s="4">
        <v>57000</v>
      </c>
    </row>
    <row r="14" spans="2:7" x14ac:dyDescent="0.35">
      <c r="D14" s="3" t="s">
        <v>39</v>
      </c>
      <c r="E14" s="3" t="s">
        <v>49</v>
      </c>
      <c r="F14" s="4">
        <v>800</v>
      </c>
      <c r="G14" s="4">
        <v>1000</v>
      </c>
    </row>
    <row r="15" spans="2:7" x14ac:dyDescent="0.35">
      <c r="D15" s="3" t="s">
        <v>40</v>
      </c>
      <c r="E15" s="3" t="s">
        <v>50</v>
      </c>
      <c r="F15" s="4">
        <v>900</v>
      </c>
      <c r="G15" s="4">
        <v>1500</v>
      </c>
    </row>
    <row r="16" spans="2:7" x14ac:dyDescent="0.35">
      <c r="D16" s="3" t="s">
        <v>41</v>
      </c>
      <c r="E16" s="3" t="s">
        <v>51</v>
      </c>
      <c r="F16" s="4">
        <v>25000</v>
      </c>
      <c r="G16" s="4">
        <v>27000</v>
      </c>
    </row>
  </sheetData>
  <phoneticPr fontId="4" type="noConversion"/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FCF3B-587B-46AF-9EF1-F151AE58F2B0}">
  <dimension ref="B1:H16"/>
  <sheetViews>
    <sheetView workbookViewId="0">
      <selection activeCell="G11" sqref="G11"/>
    </sheetView>
  </sheetViews>
  <sheetFormatPr defaultRowHeight="14.5" x14ac:dyDescent="0.35"/>
  <cols>
    <col min="1" max="1" width="4.26953125" style="1" customWidth="1"/>
    <col min="2" max="2" width="26.6328125" style="2" customWidth="1"/>
    <col min="3" max="3" width="3.08984375" style="1" customWidth="1"/>
    <col min="4" max="4" width="11.54296875" style="1" customWidth="1"/>
    <col min="5" max="5" width="14.6328125" style="1" customWidth="1"/>
    <col min="6" max="6" width="14" style="1" customWidth="1"/>
    <col min="7" max="7" width="11.6328125" style="1" customWidth="1"/>
    <col min="8" max="8" width="13.90625" style="1" customWidth="1"/>
    <col min="9" max="16384" width="8.7265625" style="1"/>
  </cols>
  <sheetData>
    <row r="1" spans="2:8" x14ac:dyDescent="0.35">
      <c r="B1" s="1"/>
    </row>
    <row r="6" spans="2:8" x14ac:dyDescent="0.35">
      <c r="D6" s="7" t="s">
        <v>28</v>
      </c>
      <c r="E6" s="5" t="s">
        <v>29</v>
      </c>
      <c r="F6" s="1" t="s">
        <v>52</v>
      </c>
      <c r="G6" s="3" t="s">
        <v>53</v>
      </c>
      <c r="H6" s="1" t="s">
        <v>3</v>
      </c>
    </row>
    <row r="7" spans="2:8" x14ac:dyDescent="0.35">
      <c r="D7" s="8" t="s">
        <v>32</v>
      </c>
      <c r="E7" s="6" t="s">
        <v>42</v>
      </c>
      <c r="F7" s="3" t="s">
        <v>54</v>
      </c>
      <c r="G7" s="3">
        <v>9988657496</v>
      </c>
      <c r="H7" s="3" t="s">
        <v>57</v>
      </c>
    </row>
    <row r="8" spans="2:8" x14ac:dyDescent="0.35">
      <c r="D8" s="8" t="s">
        <v>33</v>
      </c>
      <c r="E8" s="6" t="s">
        <v>43</v>
      </c>
      <c r="F8" s="3" t="s">
        <v>54</v>
      </c>
      <c r="G8" s="3">
        <v>9988657496</v>
      </c>
      <c r="H8" s="3" t="s">
        <v>57</v>
      </c>
    </row>
    <row r="9" spans="2:8" x14ac:dyDescent="0.35">
      <c r="D9" s="8" t="s">
        <v>34</v>
      </c>
      <c r="E9" s="6" t="s">
        <v>44</v>
      </c>
      <c r="F9" s="3" t="s">
        <v>54</v>
      </c>
      <c r="G9" s="3">
        <v>9988657496</v>
      </c>
      <c r="H9" s="3" t="s">
        <v>57</v>
      </c>
    </row>
    <row r="10" spans="2:8" x14ac:dyDescent="0.35">
      <c r="D10" s="8" t="s">
        <v>35</v>
      </c>
      <c r="E10" s="6" t="s">
        <v>45</v>
      </c>
      <c r="F10" s="3" t="s">
        <v>55</v>
      </c>
      <c r="G10" s="3">
        <v>9876540321</v>
      </c>
      <c r="H10" s="3" t="s">
        <v>58</v>
      </c>
    </row>
    <row r="11" spans="2:8" x14ac:dyDescent="0.35">
      <c r="D11" s="8" t="s">
        <v>36</v>
      </c>
      <c r="E11" s="6" t="s">
        <v>46</v>
      </c>
      <c r="F11" s="3" t="s">
        <v>55</v>
      </c>
      <c r="G11" s="3">
        <v>9876540321</v>
      </c>
      <c r="H11" s="3" t="s">
        <v>58</v>
      </c>
    </row>
    <row r="12" spans="2:8" x14ac:dyDescent="0.35">
      <c r="D12" s="8" t="s">
        <v>37</v>
      </c>
      <c r="E12" s="6" t="s">
        <v>47</v>
      </c>
      <c r="F12" s="3" t="s">
        <v>55</v>
      </c>
      <c r="G12" s="3">
        <v>9876540321</v>
      </c>
      <c r="H12" s="3" t="s">
        <v>58</v>
      </c>
    </row>
    <row r="13" spans="2:8" x14ac:dyDescent="0.35">
      <c r="D13" s="8" t="s">
        <v>38</v>
      </c>
      <c r="E13" s="6" t="s">
        <v>48</v>
      </c>
      <c r="F13" s="3" t="s">
        <v>55</v>
      </c>
      <c r="G13" s="3">
        <v>9876540321</v>
      </c>
      <c r="H13" s="3" t="s">
        <v>58</v>
      </c>
    </row>
    <row r="14" spans="2:8" x14ac:dyDescent="0.35">
      <c r="D14" s="8" t="s">
        <v>39</v>
      </c>
      <c r="E14" s="6" t="s">
        <v>49</v>
      </c>
      <c r="F14" s="3" t="s">
        <v>56</v>
      </c>
      <c r="G14" s="3">
        <v>9845677345</v>
      </c>
      <c r="H14" s="3" t="s">
        <v>59</v>
      </c>
    </row>
    <row r="15" spans="2:8" x14ac:dyDescent="0.35">
      <c r="D15" s="8" t="s">
        <v>40</v>
      </c>
      <c r="E15" s="6" t="s">
        <v>50</v>
      </c>
      <c r="F15" s="3" t="s">
        <v>56</v>
      </c>
      <c r="G15" s="3">
        <v>9845677345</v>
      </c>
      <c r="H15" s="3" t="s">
        <v>59</v>
      </c>
    </row>
    <row r="16" spans="2:8" x14ac:dyDescent="0.35">
      <c r="D16" s="8" t="s">
        <v>41</v>
      </c>
      <c r="E16" s="6" t="s">
        <v>51</v>
      </c>
      <c r="F16" s="3" t="s">
        <v>56</v>
      </c>
      <c r="G16" s="3">
        <v>9845677345</v>
      </c>
      <c r="H16" s="3" t="s">
        <v>59</v>
      </c>
    </row>
  </sheetData>
  <phoneticPr fontId="4" type="noConversion"/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E36D2-0ABE-49E2-A24E-1A097C29D0BE}">
  <dimension ref="B1:E10"/>
  <sheetViews>
    <sheetView workbookViewId="0"/>
  </sheetViews>
  <sheetFormatPr defaultRowHeight="14.5" x14ac:dyDescent="0.35"/>
  <cols>
    <col min="1" max="1" width="4.26953125" style="1" customWidth="1"/>
    <col min="2" max="2" width="26.6328125" style="2" customWidth="1"/>
    <col min="3" max="3" width="3.36328125" style="1" customWidth="1"/>
    <col min="4" max="4" width="8.7265625" style="1"/>
    <col min="5" max="5" width="16.81640625" style="1" customWidth="1"/>
    <col min="6" max="16384" width="8.7265625" style="1"/>
  </cols>
  <sheetData>
    <row r="1" spans="2:5" x14ac:dyDescent="0.35">
      <c r="B1" s="1"/>
    </row>
    <row r="7" spans="2:5" x14ac:dyDescent="0.35">
      <c r="E7" s="9" t="s">
        <v>60</v>
      </c>
    </row>
    <row r="8" spans="2:5" x14ac:dyDescent="0.35">
      <c r="E8" s="10"/>
    </row>
    <row r="9" spans="2:5" x14ac:dyDescent="0.35">
      <c r="E9" s="9" t="s">
        <v>61</v>
      </c>
    </row>
    <row r="10" spans="2:5" x14ac:dyDescent="0.35">
      <c r="E10" s="10" t="s">
        <v>62</v>
      </c>
    </row>
  </sheetData>
  <hyperlinks>
    <hyperlink ref="E7" location="Purchase!A1" display="Purchase Entry" xr:uid="{7859FFB6-E27E-4CF8-B355-FB4B20C5A890}"/>
    <hyperlink ref="E9" location="Sales!A1" display="Sale Entry" xr:uid="{7D018576-340C-475C-A560-AA4741509A7F}"/>
  </hyperlink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C323B-945D-4119-8E45-843835002949}">
  <dimension ref="B1:J18"/>
  <sheetViews>
    <sheetView workbookViewId="0"/>
  </sheetViews>
  <sheetFormatPr defaultRowHeight="14.5" x14ac:dyDescent="0.35"/>
  <cols>
    <col min="1" max="1" width="4.26953125" style="1" customWidth="1"/>
    <col min="2" max="2" width="26.6328125" style="2" customWidth="1"/>
    <col min="3" max="3" width="3.08984375" style="1" customWidth="1"/>
    <col min="4" max="4" width="11.1796875" style="1" customWidth="1"/>
    <col min="5" max="5" width="14.6328125" style="1" customWidth="1"/>
    <col min="6" max="7" width="12.453125" style="1" customWidth="1"/>
    <col min="8" max="8" width="11.54296875" style="1" customWidth="1"/>
    <col min="9" max="9" width="12.08984375" style="1" customWidth="1"/>
    <col min="10" max="10" width="14.1796875" style="1" customWidth="1"/>
    <col min="11" max="16384" width="8.7265625" style="1"/>
  </cols>
  <sheetData>
    <row r="1" spans="2:10" x14ac:dyDescent="0.35">
      <c r="B1" s="1"/>
    </row>
    <row r="6" spans="2:10" x14ac:dyDescent="0.35">
      <c r="D6" s="3" t="s">
        <v>63</v>
      </c>
      <c r="E6" s="3" t="s">
        <v>29</v>
      </c>
      <c r="F6" s="3" t="s">
        <v>64</v>
      </c>
      <c r="G6" s="3" t="s">
        <v>65</v>
      </c>
      <c r="H6" s="3" t="s">
        <v>66</v>
      </c>
      <c r="I6" s="3" t="s">
        <v>30</v>
      </c>
      <c r="J6" s="3" t="s">
        <v>67</v>
      </c>
    </row>
    <row r="7" spans="2:10" x14ac:dyDescent="0.35">
      <c r="D7" s="3" t="s">
        <v>32</v>
      </c>
      <c r="E7" s="3" t="str">
        <f>IFERROR(VLOOKUP(Purchase_data[[#This Row],[HSN Code]],Products_data[#All],2,0),"")</f>
        <v>Smart Watch</v>
      </c>
      <c r="F7" s="3" t="str">
        <f>IFERROR(VLOOKUP(Purchase_data[[#This Row],[HSN Code]],Vendors_data[#All],3,0),"")</f>
        <v>Tech99</v>
      </c>
      <c r="G7" s="3"/>
      <c r="H7" s="3">
        <v>1</v>
      </c>
      <c r="I7" s="3">
        <f>IFERROR(VLOOKUP(Purchase_data[[#This Row],[HSN Code]],Products_data[#All],3,0),"")</f>
        <v>980</v>
      </c>
      <c r="J7" s="3">
        <f>IFERROR(Purchase_data[[#This Row],[Units]]*Purchase_data[[#This Row],[Cost]],"")</f>
        <v>980</v>
      </c>
    </row>
    <row r="8" spans="2:10" x14ac:dyDescent="0.35">
      <c r="D8" s="3" t="s">
        <v>35</v>
      </c>
      <c r="E8" s="3" t="str">
        <f>IFERROR(VLOOKUP(Purchase_data[[#This Row],[HSN Code]],Products_data[#All],2,0),"")</f>
        <v>Desktop</v>
      </c>
      <c r="F8" s="3" t="str">
        <f>IFERROR(VLOOKUP(Purchase_data[[#This Row],[HSN Code]],Vendors_data[#All],3,0),"")</f>
        <v>GG Traders</v>
      </c>
      <c r="G8" s="3"/>
      <c r="H8" s="3">
        <v>89</v>
      </c>
      <c r="I8" s="3">
        <f>IFERROR(VLOOKUP(Purchase_data[[#This Row],[HSN Code]],Products_data[#All],3,0),"")</f>
        <v>20000</v>
      </c>
      <c r="J8" s="3">
        <f>IFERROR(Purchase_data[[#This Row],[Units]]*Purchase_data[[#This Row],[Cost]],"")</f>
        <v>1780000</v>
      </c>
    </row>
    <row r="9" spans="2:10" x14ac:dyDescent="0.35">
      <c r="D9" s="3" t="s">
        <v>32</v>
      </c>
      <c r="E9" s="3" t="str">
        <f>IFERROR(VLOOKUP(Purchase_data[[#This Row],[HSN Code]],Products_data[#All],2,0),"")</f>
        <v>Smart Watch</v>
      </c>
      <c r="F9" s="3" t="str">
        <f>IFERROR(VLOOKUP(Purchase_data[[#This Row],[HSN Code]],Vendors_data[#All],3,0),"")</f>
        <v>Tech99</v>
      </c>
      <c r="G9" s="3"/>
      <c r="H9" s="3">
        <v>70</v>
      </c>
      <c r="I9" s="3">
        <f>IFERROR(VLOOKUP(Purchase_data[[#This Row],[HSN Code]],Products_data[#All],3,0),"")</f>
        <v>980</v>
      </c>
      <c r="J9" s="3">
        <f>IFERROR(Purchase_data[[#This Row],[Units]]*Purchase_data[[#This Row],[Cost]],"")</f>
        <v>68600</v>
      </c>
    </row>
    <row r="10" spans="2:10" x14ac:dyDescent="0.35">
      <c r="D10" s="3" t="s">
        <v>37</v>
      </c>
      <c r="E10" s="3" t="str">
        <f>IFERROR(VLOOKUP(Purchase_data[[#This Row],[HSN Code]],Products_data[#All],2,0),"")</f>
        <v>RGB Keyboard</v>
      </c>
      <c r="F10" s="3" t="str">
        <f>IFERROR(VLOOKUP(Purchase_data[[#This Row],[HSN Code]],Vendors_data[#All],3,0),"")</f>
        <v>GG Traders</v>
      </c>
      <c r="G10" s="3"/>
      <c r="H10" s="3">
        <v>50</v>
      </c>
      <c r="I10" s="3">
        <f>IFERROR(VLOOKUP(Purchase_data[[#This Row],[HSN Code]],Products_data[#All],3,0),"")</f>
        <v>2500</v>
      </c>
      <c r="J10" s="3">
        <f>IFERROR(Purchase_data[[#This Row],[Units]]*Purchase_data[[#This Row],[Cost]],"")</f>
        <v>125000</v>
      </c>
    </row>
    <row r="11" spans="2:10" x14ac:dyDescent="0.35">
      <c r="D11" s="3" t="s">
        <v>36</v>
      </c>
      <c r="E11" s="3" t="str">
        <f>IFERROR(VLOOKUP(Purchase_data[[#This Row],[HSN Code]],Products_data[#All],2,0),"")</f>
        <v>Mouse</v>
      </c>
      <c r="F11" s="3" t="str">
        <f>IFERROR(VLOOKUP(Purchase_data[[#This Row],[HSN Code]],Vendors_data[#All],3,0),"")</f>
        <v>GG Traders</v>
      </c>
      <c r="G11" s="3"/>
      <c r="H11" s="3">
        <v>34</v>
      </c>
      <c r="I11" s="3">
        <f>IFERROR(VLOOKUP(Purchase_data[[#This Row],[HSN Code]],Products_data[#All],3,0),"")</f>
        <v>500</v>
      </c>
      <c r="J11" s="3">
        <f>IFERROR(Purchase_data[[#This Row],[Units]]*Purchase_data[[#This Row],[Cost]],"")</f>
        <v>17000</v>
      </c>
    </row>
    <row r="12" spans="2:10" x14ac:dyDescent="0.35">
      <c r="D12" s="3" t="s">
        <v>33</v>
      </c>
      <c r="E12" s="3" t="str">
        <f>IFERROR(VLOOKUP(Purchase_data[[#This Row],[HSN Code]],Products_data[#All],2,0),"")</f>
        <v>Laptop</v>
      </c>
      <c r="F12" s="3" t="str">
        <f>IFERROR(VLOOKUP(Purchase_data[[#This Row],[HSN Code]],Vendors_data[#All],3,0),"")</f>
        <v>Tech99</v>
      </c>
      <c r="G12" s="3"/>
      <c r="H12" s="3">
        <v>45</v>
      </c>
      <c r="I12" s="3">
        <f>IFERROR(VLOOKUP(Purchase_data[[#This Row],[HSN Code]],Products_data[#All],3,0),"")</f>
        <v>34500</v>
      </c>
      <c r="J12" s="3">
        <f>IFERROR(Purchase_data[[#This Row],[Units]]*Purchase_data[[#This Row],[Cost]],"")</f>
        <v>1552500</v>
      </c>
    </row>
    <row r="13" spans="2:10" x14ac:dyDescent="0.35">
      <c r="D13" s="3" t="s">
        <v>41</v>
      </c>
      <c r="E13" s="3" t="str">
        <f>IFERROR(VLOOKUP(Purchase_data[[#This Row],[HSN Code]],Products_data[#All],2,0),"")</f>
        <v>Tablets</v>
      </c>
      <c r="F13" s="3" t="str">
        <f>IFERROR(VLOOKUP(Purchase_data[[#This Row],[HSN Code]],Vendors_data[#All],3,0),"")</f>
        <v>Compac</v>
      </c>
      <c r="G13" s="3"/>
      <c r="H13" s="3">
        <v>23</v>
      </c>
      <c r="I13" s="3">
        <f>IFERROR(VLOOKUP(Purchase_data[[#This Row],[HSN Code]],Products_data[#All],3,0),"")</f>
        <v>25000</v>
      </c>
      <c r="J13" s="3">
        <f>IFERROR(Purchase_data[[#This Row],[Units]]*Purchase_data[[#This Row],[Cost]],"")</f>
        <v>575000</v>
      </c>
    </row>
    <row r="14" spans="2:10" x14ac:dyDescent="0.35">
      <c r="D14" s="3" t="s">
        <v>34</v>
      </c>
      <c r="E14" s="3" t="str">
        <f>IFERROR(VLOOKUP(Purchase_data[[#This Row],[HSN Code]],Products_data[#All],2,0),"")</f>
        <v>Wireless Printer</v>
      </c>
      <c r="F14" s="3" t="str">
        <f>IFERROR(VLOOKUP(Purchase_data[[#This Row],[HSN Code]],Vendors_data[#All],3,0),"")</f>
        <v>Tech99</v>
      </c>
      <c r="G14" s="3"/>
      <c r="H14" s="3">
        <v>45</v>
      </c>
      <c r="I14" s="3">
        <f>IFERROR(VLOOKUP(Purchase_data[[#This Row],[HSN Code]],Products_data[#All],3,0),"")</f>
        <v>5000</v>
      </c>
      <c r="J14" s="3">
        <f>IFERROR(Purchase_data[[#This Row],[Units]]*Purchase_data[[#This Row],[Cost]],"")</f>
        <v>225000</v>
      </c>
    </row>
    <row r="15" spans="2:10" x14ac:dyDescent="0.35">
      <c r="D15" s="3" t="s">
        <v>38</v>
      </c>
      <c r="E15" s="3" t="str">
        <f>IFERROR(VLOOKUP(Purchase_data[[#This Row],[HSN Code]],Products_data[#All],2,0),"")</f>
        <v xml:space="preserve">Camera </v>
      </c>
      <c r="F15" s="3" t="str">
        <f>IFERROR(VLOOKUP(Purchase_data[[#This Row],[HSN Code]],Vendors_data[#All],3,0),"")</f>
        <v>GG Traders</v>
      </c>
      <c r="G15" s="3"/>
      <c r="H15" s="3">
        <v>67</v>
      </c>
      <c r="I15" s="3">
        <f>IFERROR(VLOOKUP(Purchase_data[[#This Row],[HSN Code]],Products_data[#All],3,0),"")</f>
        <v>55000</v>
      </c>
      <c r="J15" s="3">
        <f>IFERROR(Purchase_data[[#This Row],[Units]]*Purchase_data[[#This Row],[Cost]],"")</f>
        <v>3685000</v>
      </c>
    </row>
    <row r="16" spans="2:10" x14ac:dyDescent="0.35">
      <c r="D16" s="3" t="s">
        <v>39</v>
      </c>
      <c r="E16" s="3" t="str">
        <f>IFERROR(VLOOKUP(Purchase_data[[#This Row],[HSN Code]],Products_data[#All],2,0),"")</f>
        <v>Headphones</v>
      </c>
      <c r="F16" s="3" t="str">
        <f>IFERROR(VLOOKUP(Purchase_data[[#This Row],[HSN Code]],Vendors_data[#All],3,0),"")</f>
        <v>Compac</v>
      </c>
      <c r="G16" s="3"/>
      <c r="H16" s="3">
        <v>98</v>
      </c>
      <c r="I16" s="3">
        <f>IFERROR(VLOOKUP(Purchase_data[[#This Row],[HSN Code]],Products_data[#All],3,0),"")</f>
        <v>800</v>
      </c>
      <c r="J16" s="3">
        <f>IFERROR(Purchase_data[[#This Row],[Units]]*Purchase_data[[#This Row],[Cost]],"")</f>
        <v>78400</v>
      </c>
    </row>
    <row r="17" spans="4:10" x14ac:dyDescent="0.35">
      <c r="D17" s="3" t="s">
        <v>32</v>
      </c>
      <c r="E17" s="3" t="str">
        <f>IFERROR(VLOOKUP(Purchase_data[[#This Row],[HSN Code]],Products_data[#All],2,0),"")</f>
        <v>Smart Watch</v>
      </c>
      <c r="F17" s="3" t="str">
        <f>IFERROR(VLOOKUP(Purchase_data[[#This Row],[HSN Code]],Vendors_data[#All],3,0),"")</f>
        <v>Tech99</v>
      </c>
      <c r="G17" s="3"/>
      <c r="H17" s="3">
        <v>12</v>
      </c>
      <c r="I17" s="3">
        <f>IFERROR(VLOOKUP(Purchase_data[[#This Row],[HSN Code]],Products_data[#All],3,0),"")</f>
        <v>980</v>
      </c>
      <c r="J17" s="3">
        <f>IFERROR(Purchase_data[[#This Row],[Units]]*Purchase_data[[#This Row],[Cost]],"")</f>
        <v>11760</v>
      </c>
    </row>
    <row r="18" spans="4:10" x14ac:dyDescent="0.35">
      <c r="D18" s="3" t="s">
        <v>40</v>
      </c>
      <c r="E18" s="3" t="str">
        <f>IFERROR(VLOOKUP(Purchase_data[[#This Row],[HSN Code]],Products_data[#All],2,0),"")</f>
        <v>Speakers</v>
      </c>
      <c r="F18" s="3" t="str">
        <f>IFERROR(VLOOKUP(Purchase_data[[#This Row],[HSN Code]],Vendors_data[#All],3,0),"")</f>
        <v>Compac</v>
      </c>
      <c r="G18" s="3"/>
      <c r="H18" s="3">
        <v>45</v>
      </c>
      <c r="I18" s="3">
        <f>IFERROR(VLOOKUP(Purchase_data[[#This Row],[HSN Code]],Products_data[#All],3,0),"")</f>
        <v>900</v>
      </c>
      <c r="J18" s="3">
        <f>IFERROR(Purchase_data[[#This Row],[Units]]*Purchase_data[[#This Row],[Cost]],"")</f>
        <v>40500</v>
      </c>
    </row>
  </sheetData>
  <dataValidations count="1">
    <dataValidation type="list" allowBlank="1" showInputMessage="1" showErrorMessage="1" sqref="D7:D18" xr:uid="{28A4BE22-9E68-402E-93C6-16E16A0678A1}">
      <formula1>hsncode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8C4EC-D36D-4E49-83F9-C586261DB243}">
  <dimension ref="B1:L24"/>
  <sheetViews>
    <sheetView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J11" sqref="J11"/>
    </sheetView>
  </sheetViews>
  <sheetFormatPr defaultRowHeight="14.5" x14ac:dyDescent="0.35"/>
  <cols>
    <col min="1" max="1" width="4.26953125" style="1" customWidth="1"/>
    <col min="2" max="2" width="26.6328125" style="2" customWidth="1"/>
    <col min="3" max="3" width="3.26953125" style="1" customWidth="1"/>
    <col min="4" max="4" width="9.26953125" style="1" customWidth="1"/>
    <col min="5" max="5" width="12.1796875" style="1" customWidth="1"/>
    <col min="6" max="6" width="11.54296875" style="1" customWidth="1"/>
    <col min="7" max="7" width="18.81640625" style="1" customWidth="1"/>
    <col min="8" max="9" width="11.453125" style="1" customWidth="1"/>
    <col min="10" max="10" width="10.81640625" style="1" customWidth="1"/>
    <col min="11" max="11" width="8.7265625" style="1"/>
    <col min="12" max="12" width="9.36328125" style="1" customWidth="1"/>
    <col min="13" max="16384" width="8.7265625" style="1"/>
  </cols>
  <sheetData>
    <row r="1" spans="2:12" x14ac:dyDescent="0.35">
      <c r="B1" s="1"/>
    </row>
    <row r="6" spans="2:12" x14ac:dyDescent="0.35">
      <c r="D6" s="3" t="s">
        <v>68</v>
      </c>
      <c r="E6" s="3" t="s">
        <v>69</v>
      </c>
      <c r="F6" s="3" t="s">
        <v>28</v>
      </c>
      <c r="G6" s="3" t="s">
        <v>29</v>
      </c>
      <c r="H6" s="3" t="s">
        <v>70</v>
      </c>
      <c r="I6" s="3" t="s">
        <v>71</v>
      </c>
      <c r="J6" s="3" t="s">
        <v>66</v>
      </c>
      <c r="K6" s="3" t="s">
        <v>72</v>
      </c>
      <c r="L6" s="3" t="s">
        <v>67</v>
      </c>
    </row>
    <row r="7" spans="2:12" x14ac:dyDescent="0.35">
      <c r="D7" s="3">
        <v>107</v>
      </c>
      <c r="E7" s="3" t="str">
        <f>IFERROR(VLOOKUP(Sales!D7,Customers_data[#All],2,0),"")</f>
        <v>Priya</v>
      </c>
      <c r="F7" s="3" t="s">
        <v>34</v>
      </c>
      <c r="G7" s="3" t="str">
        <f>IFERROR(VLOOKUP(F7,Products_data[#All],2,0),"")</f>
        <v>Wireless Printer</v>
      </c>
      <c r="H7" s="11">
        <f ca="1">TODAY()</f>
        <v>46122</v>
      </c>
      <c r="I7" s="3">
        <f>IFERROR(VLOOKUP(Table5[[#This Row],[HSN Code ]],Table6[#All],6,0),"")</f>
        <v>6</v>
      </c>
      <c r="J7" s="3">
        <v>39</v>
      </c>
      <c r="K7" s="3">
        <f>IFERROR(VLOOKUP(F7,Products_data[#All],4,0),"")</f>
        <v>7000</v>
      </c>
      <c r="L7" s="3">
        <f>IFERROR(K7*J7,"")</f>
        <v>273000</v>
      </c>
    </row>
    <row r="8" spans="2:12" x14ac:dyDescent="0.35">
      <c r="D8" s="3">
        <v>103</v>
      </c>
      <c r="E8" s="3" t="str">
        <f>IFERROR(VLOOKUP(Sales!D8,Customers_data[#All],2,0),"")</f>
        <v>Nimit</v>
      </c>
      <c r="F8" s="3" t="s">
        <v>36</v>
      </c>
      <c r="G8" s="3" t="str">
        <f>IFERROR(VLOOKUP(F8,Products_data[#All],2,0),"")</f>
        <v>Mouse</v>
      </c>
      <c r="H8" s="11">
        <f t="shared" ref="H8:H18" ca="1" si="0">TODAY()</f>
        <v>46122</v>
      </c>
      <c r="I8" s="3">
        <f>IFERROR(VLOOKUP(Table5[[#This Row],[HSN Code ]],Table6[#All],6,0),"")</f>
        <v>6</v>
      </c>
      <c r="J8" s="3">
        <v>18</v>
      </c>
      <c r="K8" s="3">
        <f>IFERROR(VLOOKUP(F8,Products_data[#All],4,0),"")</f>
        <v>700</v>
      </c>
      <c r="L8" s="3">
        <f t="shared" ref="L8:L23" si="1">IFERROR(K8*J8,"")</f>
        <v>12600</v>
      </c>
    </row>
    <row r="9" spans="2:12" x14ac:dyDescent="0.35">
      <c r="D9" s="3">
        <v>108</v>
      </c>
      <c r="E9" s="3" t="str">
        <f>IFERROR(VLOOKUP(Sales!D9,Customers_data[#All],2,0),"")</f>
        <v>Nidhi</v>
      </c>
      <c r="F9" s="3" t="s">
        <v>36</v>
      </c>
      <c r="G9" s="3" t="str">
        <f>IFERROR(VLOOKUP(F9,Products_data[#All],2,0),"")</f>
        <v>Mouse</v>
      </c>
      <c r="H9" s="11">
        <f t="shared" ca="1" si="0"/>
        <v>46122</v>
      </c>
      <c r="I9" s="3">
        <f>IFERROR(VLOOKUP(Table5[[#This Row],[HSN Code ]],Table6[#All],6,0),"")</f>
        <v>6</v>
      </c>
      <c r="J9" s="3">
        <v>10</v>
      </c>
      <c r="K9" s="3">
        <f>IFERROR(VLOOKUP(F9,Products_data[#All],4,0),"")</f>
        <v>700</v>
      </c>
      <c r="L9" s="3">
        <f t="shared" si="1"/>
        <v>7000</v>
      </c>
    </row>
    <row r="10" spans="2:12" x14ac:dyDescent="0.35">
      <c r="D10" s="3">
        <v>102</v>
      </c>
      <c r="E10" s="3" t="str">
        <f>IFERROR(VLOOKUP(Sales!D10,Customers_data[#All],2,0),"")</f>
        <v>Suresh</v>
      </c>
      <c r="F10" s="3" t="s">
        <v>37</v>
      </c>
      <c r="G10" s="3" t="str">
        <f>IFERROR(VLOOKUP(F10,Products_data[#All],2,0),"")</f>
        <v>RGB Keyboard</v>
      </c>
      <c r="H10" s="11">
        <f t="shared" ca="1" si="0"/>
        <v>46122</v>
      </c>
      <c r="I10" s="3">
        <f>IFERROR(VLOOKUP(Table5[[#This Row],[HSN Code ]],Table6[#All],6,0),"")</f>
        <v>0</v>
      </c>
      <c r="J10" s="3">
        <v>50</v>
      </c>
      <c r="K10" s="3">
        <f>IFERROR(VLOOKUP(F10,Products_data[#All],4,0),"")</f>
        <v>3000</v>
      </c>
      <c r="L10" s="3">
        <f t="shared" si="1"/>
        <v>150000</v>
      </c>
    </row>
    <row r="11" spans="2:12" x14ac:dyDescent="0.35">
      <c r="D11" s="3">
        <v>104</v>
      </c>
      <c r="E11" s="3" t="str">
        <f>IFERROR(VLOOKUP(Sales!D11,Customers_data[#All],2,0),"")</f>
        <v>Naina</v>
      </c>
      <c r="F11" s="3" t="s">
        <v>38</v>
      </c>
      <c r="G11" s="3" t="str">
        <f>IFERROR(VLOOKUP(F11,Products_data[#All],2,0),"")</f>
        <v xml:space="preserve">Camera </v>
      </c>
      <c r="H11" s="11">
        <f t="shared" ca="1" si="0"/>
        <v>46122</v>
      </c>
      <c r="I11" s="3">
        <f>IFERROR(VLOOKUP(Table5[[#This Row],[HSN Code ]],Table6[#All],6,0),"")</f>
        <v>3</v>
      </c>
      <c r="J11" s="3">
        <v>64</v>
      </c>
      <c r="K11" s="3">
        <f>IFERROR(VLOOKUP(F11,Products_data[#All],4,0),"")</f>
        <v>57000</v>
      </c>
      <c r="L11" s="3">
        <f t="shared" si="1"/>
        <v>3648000</v>
      </c>
    </row>
    <row r="12" spans="2:12" x14ac:dyDescent="0.35">
      <c r="D12" s="3">
        <v>105</v>
      </c>
      <c r="E12" s="3" t="str">
        <f>IFERROR(VLOOKUP(Sales!D12,Customers_data[#All],2,0),"")</f>
        <v>Sneha</v>
      </c>
      <c r="F12" s="3" t="s">
        <v>39</v>
      </c>
      <c r="G12" s="3" t="str">
        <f>IFERROR(VLOOKUP(F12,Products_data[#All],2,0),"")</f>
        <v>Headphones</v>
      </c>
      <c r="H12" s="11">
        <f t="shared" ca="1" si="0"/>
        <v>46122</v>
      </c>
      <c r="I12" s="3">
        <f>IFERROR(VLOOKUP(Table5[[#This Row],[HSN Code ]],Table6[#All],6,0),"")</f>
        <v>53</v>
      </c>
      <c r="J12" s="3">
        <v>45</v>
      </c>
      <c r="K12" s="3">
        <f>IFERROR(VLOOKUP(F12,Products_data[#All],4,0),"")</f>
        <v>1000</v>
      </c>
      <c r="L12" s="3">
        <f t="shared" si="1"/>
        <v>45000</v>
      </c>
    </row>
    <row r="13" spans="2:12" x14ac:dyDescent="0.35">
      <c r="D13" s="3">
        <v>106</v>
      </c>
      <c r="E13" s="3" t="str">
        <f>IFERROR(VLOOKUP(Sales!D13,Customers_data[#All],2,0),"")</f>
        <v>Sunaiana</v>
      </c>
      <c r="F13" s="3" t="s">
        <v>40</v>
      </c>
      <c r="G13" s="3" t="str">
        <f>IFERROR(VLOOKUP(F13,Products_data[#All],2,0),"")</f>
        <v>Speakers</v>
      </c>
      <c r="H13" s="11">
        <f t="shared" ca="1" si="0"/>
        <v>46122</v>
      </c>
      <c r="I13" s="3">
        <f>IFERROR(VLOOKUP(Table5[[#This Row],[HSN Code ]],Table6[#All],6,0),"")</f>
        <v>35</v>
      </c>
      <c r="J13" s="3">
        <v>10</v>
      </c>
      <c r="K13" s="3">
        <f>IFERROR(VLOOKUP(F13,Products_data[#All],4,0),"")</f>
        <v>1500</v>
      </c>
      <c r="L13" s="3">
        <f t="shared" si="1"/>
        <v>15000</v>
      </c>
    </row>
    <row r="14" spans="2:12" x14ac:dyDescent="0.35">
      <c r="D14" s="3">
        <v>107</v>
      </c>
      <c r="E14" s="3" t="str">
        <f>IFERROR(VLOOKUP(Sales!D14,Customers_data[#All],2,0),"")</f>
        <v>Priya</v>
      </c>
      <c r="F14" s="3" t="s">
        <v>33</v>
      </c>
      <c r="G14" s="3" t="str">
        <f>IFERROR(VLOOKUP(F14,Products_data[#All],2,0),"")</f>
        <v>Laptop</v>
      </c>
      <c r="H14" s="11">
        <f t="shared" ca="1" si="0"/>
        <v>46122</v>
      </c>
      <c r="I14" s="3">
        <f>IFERROR(VLOOKUP(Table5[[#This Row],[HSN Code ]],Table6[#All],6,0),"")</f>
        <v>35</v>
      </c>
      <c r="J14" s="3">
        <v>10</v>
      </c>
      <c r="K14" s="3">
        <f>IFERROR(VLOOKUP(F14,Products_data[#All],4,0),"")</f>
        <v>40000</v>
      </c>
      <c r="L14" s="3">
        <f t="shared" si="1"/>
        <v>400000</v>
      </c>
    </row>
    <row r="15" spans="2:12" x14ac:dyDescent="0.35">
      <c r="D15" s="3">
        <v>101</v>
      </c>
      <c r="E15" s="3" t="str">
        <f>IFERROR(VLOOKUP(Sales!D15,Customers_data[#All],2,0),"")</f>
        <v>Rakesh</v>
      </c>
      <c r="F15" s="3" t="s">
        <v>32</v>
      </c>
      <c r="G15" s="3" t="str">
        <f>IFERROR(VLOOKUP(F15,Products_data[#All],2,0),"")</f>
        <v>Smart Watch</v>
      </c>
      <c r="H15" s="11">
        <f t="shared" ca="1" si="0"/>
        <v>46122</v>
      </c>
      <c r="I15" s="3">
        <f>IFERROR(VLOOKUP(Table5[[#This Row],[HSN Code ]],Table6[#All],6,0),"")</f>
        <v>48</v>
      </c>
      <c r="J15" s="3">
        <v>35</v>
      </c>
      <c r="K15" s="3">
        <f>IFERROR(VLOOKUP(F15,Products_data[#All],4,0),"")</f>
        <v>1200</v>
      </c>
      <c r="L15" s="3">
        <f t="shared" si="1"/>
        <v>42000</v>
      </c>
    </row>
    <row r="16" spans="2:12" x14ac:dyDescent="0.35">
      <c r="D16" s="3">
        <v>108</v>
      </c>
      <c r="E16" s="3" t="str">
        <f>IFERROR(VLOOKUP(Sales!D16,Customers_data[#All],2,0),"")</f>
        <v>Nidhi</v>
      </c>
      <c r="F16" s="3" t="s">
        <v>41</v>
      </c>
      <c r="G16" s="3" t="str">
        <f>IFERROR(VLOOKUP(F16,Products_data[#All],2,0),"")</f>
        <v>Tablets</v>
      </c>
      <c r="H16" s="11">
        <f t="shared" ca="1" si="0"/>
        <v>46122</v>
      </c>
      <c r="I16" s="3">
        <f>IFERROR(VLOOKUP(Table5[[#This Row],[HSN Code ]],Table6[#All],6,0),"")</f>
        <v>13</v>
      </c>
      <c r="J16" s="3">
        <v>10</v>
      </c>
      <c r="K16" s="3">
        <f>IFERROR(VLOOKUP(F16,Products_data[#All],4,0),"")</f>
        <v>27000</v>
      </c>
      <c r="L16" s="3">
        <f t="shared" si="1"/>
        <v>270000</v>
      </c>
    </row>
    <row r="17" spans="4:12" x14ac:dyDescent="0.35">
      <c r="D17" s="3">
        <v>106</v>
      </c>
      <c r="E17" s="3" t="str">
        <f>IFERROR(VLOOKUP(Sales!D17,Customers_data[#All],2,0),"")</f>
        <v>Sunaiana</v>
      </c>
      <c r="F17" s="3" t="s">
        <v>35</v>
      </c>
      <c r="G17" s="3" t="str">
        <f>IFERROR(VLOOKUP(F17,Products_data[#All],2,0),"")</f>
        <v>Desktop</v>
      </c>
      <c r="H17" s="11">
        <f t="shared" ca="1" si="0"/>
        <v>46122</v>
      </c>
      <c r="I17" s="3">
        <f>IFERROR(VLOOKUP(Table5[[#This Row],[HSN Code ]],Table6[#All],6,0),"")</f>
        <v>54</v>
      </c>
      <c r="J17" s="3">
        <v>20</v>
      </c>
      <c r="K17" s="3">
        <f>IFERROR(VLOOKUP(F17,Products_data[#All],4,0),"")</f>
        <v>22000</v>
      </c>
      <c r="L17" s="3">
        <f t="shared" si="1"/>
        <v>440000</v>
      </c>
    </row>
    <row r="18" spans="4:12" x14ac:dyDescent="0.35">
      <c r="D18" s="3">
        <v>103</v>
      </c>
      <c r="E18" s="3" t="str">
        <f>IFERROR(VLOOKUP(Sales!D18,Customers_data[#All],2,0),"")</f>
        <v>Nimit</v>
      </c>
      <c r="F18" s="3" t="s">
        <v>35</v>
      </c>
      <c r="G18" s="3" t="str">
        <f>IFERROR(VLOOKUP(F18,Products_data[#All],2,0),"")</f>
        <v>Desktop</v>
      </c>
      <c r="H18" s="11">
        <f t="shared" ca="1" si="0"/>
        <v>46122</v>
      </c>
      <c r="I18" s="3">
        <f>IFERROR(VLOOKUP(Table5[[#This Row],[HSN Code ]],Table6[#All],6,0),"")</f>
        <v>54</v>
      </c>
      <c r="J18" s="3">
        <v>15</v>
      </c>
      <c r="K18" s="3">
        <f>IFERROR(VLOOKUP(F18,Products_data[#All],4,0),"")</f>
        <v>22000</v>
      </c>
      <c r="L18" s="3">
        <f t="shared" si="1"/>
        <v>330000</v>
      </c>
    </row>
    <row r="19" spans="4:12" x14ac:dyDescent="0.35">
      <c r="D19" s="3"/>
      <c r="E19" s="3" t="str">
        <f>IFERROR(VLOOKUP(Sales!D19,Customers_data[#All],2,0),"")</f>
        <v/>
      </c>
      <c r="F19" s="3"/>
      <c r="G19" s="3" t="str">
        <f>IFERROR(VLOOKUP(F19,Products_data[#All],2,0),"")</f>
        <v/>
      </c>
      <c r="H19" s="3"/>
      <c r="I19" s="3" t="str">
        <f>IFERROR(VLOOKUP(Table5[[#This Row],[HSN Code ]],Table6[#All],6,0),"")</f>
        <v/>
      </c>
      <c r="J19" s="3"/>
      <c r="K19" s="3" t="str">
        <f>IFERROR(VLOOKUP(F19,Products_data[#All],4,0),"")</f>
        <v/>
      </c>
      <c r="L19" s="3" t="str">
        <f t="shared" si="1"/>
        <v/>
      </c>
    </row>
    <row r="20" spans="4:12" x14ac:dyDescent="0.35">
      <c r="D20" s="3"/>
      <c r="E20" s="3" t="str">
        <f>IFERROR(VLOOKUP(Sales!D20,Customers_data[#All],2,0),"")</f>
        <v/>
      </c>
      <c r="F20" s="3"/>
      <c r="G20" s="3" t="str">
        <f>IFERROR(VLOOKUP(F20,Products_data[#All],2,0),"")</f>
        <v/>
      </c>
      <c r="H20" s="3"/>
      <c r="I20" s="3" t="str">
        <f>IFERROR(VLOOKUP(Table5[[#This Row],[HSN Code ]],Table6[#All],6,0),"")</f>
        <v/>
      </c>
      <c r="J20" s="3"/>
      <c r="K20" s="3" t="str">
        <f>IFERROR(VLOOKUP(F20,Products_data[#All],4,0),"")</f>
        <v/>
      </c>
      <c r="L20" s="3" t="str">
        <f t="shared" si="1"/>
        <v/>
      </c>
    </row>
    <row r="21" spans="4:12" x14ac:dyDescent="0.35">
      <c r="D21" s="3"/>
      <c r="E21" s="3" t="str">
        <f>IFERROR(VLOOKUP(Sales!D21,Customers_data[#All],2,0),"")</f>
        <v/>
      </c>
      <c r="F21" s="3"/>
      <c r="G21" s="3" t="str">
        <f>IFERROR(VLOOKUP(F21,Products_data[#All],2,0),"")</f>
        <v/>
      </c>
      <c r="H21" s="3"/>
      <c r="I21" s="3" t="str">
        <f>IFERROR(VLOOKUP(Table5[[#This Row],[HSN Code ]],Table6[#All],6,0),"")</f>
        <v/>
      </c>
      <c r="J21" s="3"/>
      <c r="K21" s="3" t="str">
        <f>IFERROR(VLOOKUP(F21,Products_data[#All],4,0),"")</f>
        <v/>
      </c>
      <c r="L21" s="3" t="str">
        <f t="shared" si="1"/>
        <v/>
      </c>
    </row>
    <row r="22" spans="4:12" x14ac:dyDescent="0.35">
      <c r="D22" s="3"/>
      <c r="E22" s="3" t="str">
        <f>IFERROR(VLOOKUP(Sales!D22,Customers_data[#All],2,0),"")</f>
        <v/>
      </c>
      <c r="F22" s="3"/>
      <c r="G22" s="3" t="str">
        <f>IFERROR(VLOOKUP(F22,Products_data[#All],2,0),"")</f>
        <v/>
      </c>
      <c r="H22" s="3"/>
      <c r="I22" s="3" t="str">
        <f>IFERROR(VLOOKUP(Table5[[#This Row],[HSN Code ]],Table6[#All],6,0),"")</f>
        <v/>
      </c>
      <c r="J22" s="3"/>
      <c r="K22" s="3" t="str">
        <f>IFERROR(VLOOKUP(F22,Products_data[#All],4,0),"")</f>
        <v/>
      </c>
      <c r="L22" s="3" t="str">
        <f t="shared" si="1"/>
        <v/>
      </c>
    </row>
    <row r="23" spans="4:12" x14ac:dyDescent="0.35">
      <c r="D23" s="3"/>
      <c r="E23" s="3" t="str">
        <f>IFERROR(VLOOKUP(Sales!D23,Customers_data[#All],2,0),"")</f>
        <v/>
      </c>
      <c r="F23" s="3"/>
      <c r="G23" s="3" t="str">
        <f>IFERROR(VLOOKUP(F23,Products_data[#All],2,0),"")</f>
        <v/>
      </c>
      <c r="H23" s="3"/>
      <c r="I23" s="3" t="str">
        <f>IFERROR(VLOOKUP(Table5[[#This Row],[HSN Code ]],Table6[#All],6,0),"")</f>
        <v/>
      </c>
      <c r="J23" s="3"/>
      <c r="K23" s="3" t="str">
        <f>IFERROR(VLOOKUP(F23,Products_data[#All],4,0),"")</f>
        <v/>
      </c>
      <c r="L23" s="3" t="str">
        <f t="shared" si="1"/>
        <v/>
      </c>
    </row>
    <row r="24" spans="4:12" x14ac:dyDescent="0.35">
      <c r="D24" s="3"/>
      <c r="E24" s="3" t="str">
        <f>IFERROR(VLOOKUP(Sales!D24,Customers_data[#All],2,0),"")</f>
        <v/>
      </c>
      <c r="F24" s="3"/>
      <c r="G24" s="3"/>
      <c r="H24" s="3"/>
      <c r="I24" s="3" t="str">
        <f>IFERROR(VLOOKUP(Table5[[#This Row],[HSN Code ]],Table6[#All],6,0),"")</f>
        <v/>
      </c>
      <c r="J24" s="3"/>
      <c r="K24" s="3"/>
      <c r="L24" s="3"/>
    </row>
  </sheetData>
  <dataValidations count="2">
    <dataValidation type="list" allowBlank="1" showInputMessage="1" showErrorMessage="1" sqref="D7:D22" xr:uid="{1CCA0B8C-463C-4CFA-8B74-98193F7A5147}">
      <formula1>Customer_ID</formula1>
    </dataValidation>
    <dataValidation type="list" allowBlank="1" showInputMessage="1" showErrorMessage="1" sqref="F7:F23" xr:uid="{BFA92DDD-41DC-4A77-BB4A-C187720237AC}">
      <formula1>hsncode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0C67F-89ED-4484-8966-A5C88FA93BF7}">
  <dimension ref="B1:K19"/>
  <sheetViews>
    <sheetView workbookViewId="0"/>
  </sheetViews>
  <sheetFormatPr defaultRowHeight="14.5" x14ac:dyDescent="0.35"/>
  <cols>
    <col min="1" max="1" width="4.26953125" style="1" customWidth="1"/>
    <col min="2" max="2" width="26.6328125" style="2" customWidth="1"/>
    <col min="3" max="3" width="3.26953125" style="1" customWidth="1"/>
    <col min="4" max="4" width="11.1796875" style="1" customWidth="1"/>
    <col min="5" max="5" width="14.6328125" style="1" customWidth="1"/>
    <col min="6" max="6" width="7.08984375" style="1" customWidth="1"/>
    <col min="7" max="7" width="8.7265625" style="1" customWidth="1"/>
    <col min="8" max="10" width="8.7265625" style="1"/>
    <col min="11" max="11" width="47.7265625" style="1" customWidth="1"/>
    <col min="12" max="16384" width="8.7265625" style="1"/>
  </cols>
  <sheetData>
    <row r="1" spans="2:11" x14ac:dyDescent="0.35">
      <c r="B1" s="1"/>
    </row>
    <row r="6" spans="2:11" x14ac:dyDescent="0.35">
      <c r="D6" s="3" t="s">
        <v>63</v>
      </c>
      <c r="E6" s="3" t="s">
        <v>29</v>
      </c>
      <c r="F6" s="3" t="s">
        <v>30</v>
      </c>
      <c r="G6" s="3" t="s">
        <v>73</v>
      </c>
      <c r="H6" s="3" t="s">
        <v>74</v>
      </c>
      <c r="I6" s="3" t="s">
        <v>71</v>
      </c>
      <c r="J6" s="3" t="s">
        <v>75</v>
      </c>
      <c r="K6" s="3" t="s">
        <v>93</v>
      </c>
    </row>
    <row r="7" spans="2:11" x14ac:dyDescent="0.35">
      <c r="D7" s="3" t="str">
        <f>IFERROR(Products_data[[#This Row],[HSN Code ]],"")</f>
        <v>N1001</v>
      </c>
      <c r="E7" s="3" t="str">
        <f>IFERROR(Products_data[[#This Row],[Product Name]],"")</f>
        <v>Smart Watch</v>
      </c>
      <c r="F7" s="3">
        <f>IFERROR(Products_data[[#This Row],[Cost]],"")</f>
        <v>980</v>
      </c>
      <c r="G7" s="3">
        <f>IFERROR(SUMIF(Purchase_data[Product Name],Table6[[#This Row],[Product Name]],Purchase_data[Units]),"")</f>
        <v>83</v>
      </c>
      <c r="H7" s="3">
        <f>SUMIF(Table5[Product Name],Table6[[#This Row],[Product Name]],Table5[Units])</f>
        <v>35</v>
      </c>
      <c r="I7" s="3">
        <f>Table6[[#This Row],[P Units]]-Table6[[#This Row],[S Units]]</f>
        <v>48</v>
      </c>
      <c r="J7" s="3">
        <f>IFERROR(Table6[[#This Row],[Cost]]*Table6[[#This Row],[Stock]],"")</f>
        <v>47040</v>
      </c>
      <c r="K7" s="3" t="str">
        <f>IFERROR(IF(Table6[[#This Row],[Stock]]&lt;5,"📞 "&amp;Table6[ [#This Row],[Product Name] ]&amp; " Needs to re-order !    PH: "&amp;VLOOKUP(Table6[[#This Row],[HSN Code]],Vendors_data[#All],4,0),""),"")</f>
        <v/>
      </c>
    </row>
    <row r="8" spans="2:11" x14ac:dyDescent="0.35">
      <c r="D8" s="3" t="str">
        <f>IFERROR(Products_data[[#This Row],[HSN Code ]],"")</f>
        <v>N1002</v>
      </c>
      <c r="E8" s="3" t="str">
        <f>IFERROR(Products_data[[#This Row],[Product Name]],"")</f>
        <v>Laptop</v>
      </c>
      <c r="F8" s="3">
        <f>IFERROR(Products_data[[#This Row],[Cost]],"")</f>
        <v>34500</v>
      </c>
      <c r="G8" s="3">
        <f>IFERROR(SUMIF(Purchase_data[Product Name],Table6[[#This Row],[Product Name]],Purchase_data[Units]),"")</f>
        <v>45</v>
      </c>
      <c r="H8" s="3">
        <f>SUMIF(Table5[Product Name],Table6[[#This Row],[Product Name]],Table5[Units])</f>
        <v>10</v>
      </c>
      <c r="I8" s="3">
        <f>Table6[[#This Row],[P Units]]-Table6[[#This Row],[S Units]]</f>
        <v>35</v>
      </c>
      <c r="J8" s="3">
        <f>IFERROR(Table6[[#This Row],[Cost]]*Table6[[#This Row],[Stock]],"")</f>
        <v>1207500</v>
      </c>
      <c r="K8" s="3" t="str">
        <f>IFERROR(IF(Table6[[#This Row],[Stock]]&lt;5,"📞 "&amp;Table6[ [#This Row],[Product Name] ]&amp; " Needs to re-order !    PH: "&amp;VLOOKUP(Table6[[#This Row],[HSN Code]],Vendors_data[#All],4,0),""),"")</f>
        <v/>
      </c>
    </row>
    <row r="9" spans="2:11" x14ac:dyDescent="0.35">
      <c r="D9" s="3" t="str">
        <f>IFERROR(Products_data[[#This Row],[HSN Code ]],"")</f>
        <v>N1003</v>
      </c>
      <c r="E9" s="3" t="str">
        <f>IFERROR(Products_data[[#This Row],[Product Name]],"")</f>
        <v>Wireless Printer</v>
      </c>
      <c r="F9" s="3">
        <f>IFERROR(Products_data[[#This Row],[Cost]],"")</f>
        <v>5000</v>
      </c>
      <c r="G9" s="3">
        <f>IFERROR(SUMIF(Purchase_data[Product Name],Table6[[#This Row],[Product Name]],Purchase_data[Units]),"")</f>
        <v>45</v>
      </c>
      <c r="H9" s="3">
        <f>SUMIF(Table5[Product Name],Table6[[#This Row],[Product Name]],Table5[Units])</f>
        <v>39</v>
      </c>
      <c r="I9" s="3">
        <f>Table6[[#This Row],[P Units]]-Table6[[#This Row],[S Units]]</f>
        <v>6</v>
      </c>
      <c r="J9" s="3">
        <f>IFERROR(Table6[[#This Row],[Cost]]*Table6[[#This Row],[Stock]],"")</f>
        <v>30000</v>
      </c>
      <c r="K9" s="3" t="str">
        <f>IFERROR(IF(Table6[[#This Row],[Stock]]&lt;5,"📞 "&amp;Table6[ [#This Row],[Product Name] ]&amp; " Needs to re-order !    PH: "&amp;VLOOKUP(Table6[[#This Row],[HSN Code]],Vendors_data[#All],4,0),""),"")</f>
        <v/>
      </c>
    </row>
    <row r="10" spans="2:11" x14ac:dyDescent="0.35">
      <c r="D10" s="3" t="str">
        <f>IFERROR(Products_data[[#This Row],[HSN Code ]],"")</f>
        <v>N1004</v>
      </c>
      <c r="E10" s="3" t="str">
        <f>IFERROR(Products_data[[#This Row],[Product Name]],"")</f>
        <v>Desktop</v>
      </c>
      <c r="F10" s="3">
        <f>IFERROR(Products_data[[#This Row],[Cost]],"")</f>
        <v>20000</v>
      </c>
      <c r="G10" s="3">
        <f>IFERROR(SUMIF(Purchase_data[Product Name],Table6[[#This Row],[Product Name]],Purchase_data[Units]),"")</f>
        <v>89</v>
      </c>
      <c r="H10" s="3">
        <f>SUMIF(Table5[Product Name],Table6[[#This Row],[Product Name]],Table5[Units])</f>
        <v>35</v>
      </c>
      <c r="I10" s="3">
        <f>Table6[[#This Row],[P Units]]-Table6[[#This Row],[S Units]]</f>
        <v>54</v>
      </c>
      <c r="J10" s="3">
        <f>IFERROR(Table6[[#This Row],[Cost]]*Table6[[#This Row],[Stock]],"")</f>
        <v>1080000</v>
      </c>
      <c r="K10" s="3" t="str">
        <f>IFERROR(IF(Table6[[#This Row],[Stock]]&lt;5,"📞 "&amp;Table6[ [#This Row],[Product Name] ]&amp; " Needs to re-order !    PH: "&amp;VLOOKUP(Table6[[#This Row],[HSN Code]],Vendors_data[#All],4,0),""),"")</f>
        <v/>
      </c>
    </row>
    <row r="11" spans="2:11" x14ac:dyDescent="0.35">
      <c r="D11" s="3" t="str">
        <f>IFERROR(Products_data[[#This Row],[HSN Code ]],"")</f>
        <v>N1005</v>
      </c>
      <c r="E11" s="3" t="str">
        <f>IFERROR(Products_data[[#This Row],[Product Name]],"")</f>
        <v>Mouse</v>
      </c>
      <c r="F11" s="3">
        <f>IFERROR(Products_data[[#This Row],[Cost]],"")</f>
        <v>500</v>
      </c>
      <c r="G11" s="3">
        <f>IFERROR(SUMIF(Purchase_data[Product Name],Table6[[#This Row],[Product Name]],Purchase_data[Units]),"")</f>
        <v>34</v>
      </c>
      <c r="H11" s="3">
        <f>SUMIF(Table5[Product Name],Table6[[#This Row],[Product Name]],Table5[Units])</f>
        <v>28</v>
      </c>
      <c r="I11" s="3">
        <f>Table6[[#This Row],[P Units]]-Table6[[#This Row],[S Units]]</f>
        <v>6</v>
      </c>
      <c r="J11" s="3">
        <f>IFERROR(Table6[[#This Row],[Cost]]*Table6[[#This Row],[Stock]],"")</f>
        <v>3000</v>
      </c>
      <c r="K11" s="3" t="str">
        <f>IFERROR(IF(Table6[[#This Row],[Stock]]&lt;5,"📞 "&amp;Table6[ [#This Row],[Product Name] ]&amp; " Needs to re-order !    PH: "&amp;VLOOKUP(Table6[[#This Row],[HSN Code]],Vendors_data[#All],4,0),""),"")</f>
        <v/>
      </c>
    </row>
    <row r="12" spans="2:11" x14ac:dyDescent="0.35">
      <c r="D12" s="3" t="str">
        <f>IFERROR(Products_data[[#This Row],[HSN Code ]],"")</f>
        <v>N1006</v>
      </c>
      <c r="E12" s="3" t="str">
        <f>IFERROR(Products_data[[#This Row],[Product Name]],"")</f>
        <v>RGB Keyboard</v>
      </c>
      <c r="F12" s="3">
        <f>IFERROR(Products_data[[#This Row],[Cost]],"")</f>
        <v>2500</v>
      </c>
      <c r="G12" s="3">
        <f>IFERROR(SUMIF(Purchase_data[Product Name],Table6[[#This Row],[Product Name]],Purchase_data[Units]),"")</f>
        <v>50</v>
      </c>
      <c r="H12" s="3">
        <f>SUMIF(Table5[Product Name],Table6[[#This Row],[Product Name]],Table5[Units])</f>
        <v>50</v>
      </c>
      <c r="I12" s="3">
        <f>Table6[[#This Row],[P Units]]-Table6[[#This Row],[S Units]]</f>
        <v>0</v>
      </c>
      <c r="J12" s="3">
        <f>IFERROR(Table6[[#This Row],[Cost]]*Table6[[#This Row],[Stock]],"")</f>
        <v>0</v>
      </c>
      <c r="K12" s="3" t="str">
        <f>IFERROR(IF(Table6[[#This Row],[Stock]]&lt;5,"📞 "&amp;Table6[ [#This Row],[Product Name] ]&amp; " Needs to re-order !    PH: "&amp;VLOOKUP(Table6[[#This Row],[HSN Code]],Vendors_data[#All],4,0),""),"")</f>
        <v>📞 RGB Keyboard Needs to re-order !    PH: 9876540321</v>
      </c>
    </row>
    <row r="13" spans="2:11" x14ac:dyDescent="0.35">
      <c r="D13" s="3" t="str">
        <f>IFERROR(Products_data[[#This Row],[HSN Code ]],"")</f>
        <v>N1007</v>
      </c>
      <c r="E13" s="3" t="str">
        <f>IFERROR(Products_data[[#This Row],[Product Name]],"")</f>
        <v xml:space="preserve">Camera </v>
      </c>
      <c r="F13" s="3">
        <f>IFERROR(Products_data[[#This Row],[Cost]],"")</f>
        <v>55000</v>
      </c>
      <c r="G13" s="3">
        <f>IFERROR(SUMIF(Purchase_data[Product Name],Table6[[#This Row],[Product Name]],Purchase_data[Units]),"")</f>
        <v>67</v>
      </c>
      <c r="H13" s="3">
        <f>SUMIF(Table5[Product Name],Table6[[#This Row],[Product Name]],Table5[Units])</f>
        <v>64</v>
      </c>
      <c r="I13" s="3">
        <f>Table6[[#This Row],[P Units]]-Table6[[#This Row],[S Units]]</f>
        <v>3</v>
      </c>
      <c r="J13" s="3">
        <f>IFERROR(Table6[[#This Row],[Cost]]*Table6[[#This Row],[Stock]],"")</f>
        <v>165000</v>
      </c>
      <c r="K13" s="3" t="str">
        <f>IFERROR(IF(Table6[[#This Row],[Stock]]&lt;5,"📞 "&amp;Table6[ [#This Row],[Product Name] ]&amp; " Needs to re-order !    PH: "&amp;VLOOKUP(Table6[[#This Row],[HSN Code]],Vendors_data[#All],4,0),""),"")</f>
        <v>📞 Camera  Needs to re-order !    PH: 9876540321</v>
      </c>
    </row>
    <row r="14" spans="2:11" x14ac:dyDescent="0.35">
      <c r="D14" s="3" t="str">
        <f>IFERROR(Products_data[[#This Row],[HSN Code ]],"")</f>
        <v>N1008</v>
      </c>
      <c r="E14" s="3" t="str">
        <f>IFERROR(Products_data[[#This Row],[Product Name]],"")</f>
        <v>Headphones</v>
      </c>
      <c r="F14" s="3">
        <f>IFERROR(Products_data[[#This Row],[Cost]],"")</f>
        <v>800</v>
      </c>
      <c r="G14" s="3">
        <f>IFERROR(SUMIF(Purchase_data[Product Name],Table6[[#This Row],[Product Name]],Purchase_data[Units]),"")</f>
        <v>98</v>
      </c>
      <c r="H14" s="3">
        <f>SUMIF(Table5[Product Name],Table6[[#This Row],[Product Name]],Table5[Units])</f>
        <v>45</v>
      </c>
      <c r="I14" s="3">
        <f>Table6[[#This Row],[P Units]]-Table6[[#This Row],[S Units]]</f>
        <v>53</v>
      </c>
      <c r="J14" s="3">
        <f>IFERROR(Table6[[#This Row],[Cost]]*Table6[[#This Row],[Stock]],"")</f>
        <v>42400</v>
      </c>
      <c r="K14" s="3" t="str">
        <f>IFERROR(IF(Table6[[#This Row],[Stock]]&lt;5,"📞 "&amp;Table6[ [#This Row],[Product Name] ]&amp; " Needs to re-order !    PH: "&amp;VLOOKUP(Table6[[#This Row],[HSN Code]],Vendors_data[#All],4,0),""),"")</f>
        <v/>
      </c>
    </row>
    <row r="15" spans="2:11" x14ac:dyDescent="0.35">
      <c r="D15" s="3" t="str">
        <f>IFERROR(Products_data[[#This Row],[HSN Code ]],"")</f>
        <v>N1009</v>
      </c>
      <c r="E15" s="3" t="str">
        <f>IFERROR(Products_data[[#This Row],[Product Name]],"")</f>
        <v>Speakers</v>
      </c>
      <c r="F15" s="3">
        <f>IFERROR(Products_data[[#This Row],[Cost]],"")</f>
        <v>900</v>
      </c>
      <c r="G15" s="3">
        <f>IFERROR(SUMIF(Purchase_data[Product Name],Table6[[#This Row],[Product Name]],Purchase_data[Units]),"")</f>
        <v>45</v>
      </c>
      <c r="H15" s="3">
        <f>SUMIF(Table5[Product Name],Table6[[#This Row],[Product Name]],Table5[Units])</f>
        <v>10</v>
      </c>
      <c r="I15" s="3">
        <f>Table6[[#This Row],[P Units]]-Table6[[#This Row],[S Units]]</f>
        <v>35</v>
      </c>
      <c r="J15" s="3">
        <f>IFERROR(Table6[[#This Row],[Cost]]*Table6[[#This Row],[Stock]],"")</f>
        <v>31500</v>
      </c>
      <c r="K15" s="3" t="str">
        <f>IFERROR(IF(Table6[[#This Row],[Stock]]&lt;5,"📞 "&amp;Table6[ [#This Row],[Product Name] ]&amp; " Needs to re-order !    PH: "&amp;VLOOKUP(Table6[[#This Row],[HSN Code]],Vendors_data[#All],4,0),""),"")</f>
        <v/>
      </c>
    </row>
    <row r="16" spans="2:11" x14ac:dyDescent="0.35">
      <c r="D16" s="3" t="str">
        <f>IFERROR(Products_data[[#This Row],[HSN Code ]],"")</f>
        <v>N1010</v>
      </c>
      <c r="E16" s="3" t="str">
        <f>IFERROR(Products_data[[#This Row],[Product Name]],"")</f>
        <v>Tablets</v>
      </c>
      <c r="F16" s="3">
        <f>IFERROR(Products_data[[#This Row],[Cost]],"")</f>
        <v>25000</v>
      </c>
      <c r="G16" s="3">
        <f>IFERROR(SUMIF(Purchase_data[Product Name],Table6[[#This Row],[Product Name]],Purchase_data[Units]),"")</f>
        <v>23</v>
      </c>
      <c r="H16" s="3">
        <f>SUMIF(Table5[Product Name],Table6[[#This Row],[Product Name]],Table5[Units])</f>
        <v>10</v>
      </c>
      <c r="I16" s="3">
        <f>Table6[[#This Row],[P Units]]-Table6[[#This Row],[S Units]]</f>
        <v>13</v>
      </c>
      <c r="J16" s="3">
        <f>IFERROR(Table6[[#This Row],[Cost]]*Table6[[#This Row],[Stock]],"")</f>
        <v>325000</v>
      </c>
      <c r="K16" s="3" t="str">
        <f>IFERROR(IF(Table6[[#This Row],[Stock]]&lt;5,"📞 "&amp;Table6[ [#This Row],[Product Name] ]&amp; " Needs to re-order !    PH: "&amp;VLOOKUP(Table6[[#This Row],[HSN Code]],Vendors_data[#All],4,0),""),"")</f>
        <v/>
      </c>
    </row>
    <row r="17" spans="4:11" x14ac:dyDescent="0.35">
      <c r="D17" s="3" t="str">
        <f>IFERROR(Products_data[[#This Row],[HSN Code ]],"")</f>
        <v/>
      </c>
      <c r="E17" s="3" t="str">
        <f>IFERROR(Products_data[[#This Row],[Product Name]],"")</f>
        <v/>
      </c>
      <c r="F17" s="3" t="str">
        <f>IFERROR(Products_data[[#This Row],[Cost]],"")</f>
        <v/>
      </c>
      <c r="G17" s="3">
        <f>IFERROR(SUMIF(Purchase_data[Product Name],Table6[[#This Row],[Product Name]],Purchase_data[Units]),"")</f>
        <v>0</v>
      </c>
      <c r="H17" s="3">
        <f>SUMIF(Table5[Product Name],Table6[[#This Row],[Product Name]],Table5[Units])</f>
        <v>0</v>
      </c>
      <c r="I17" s="3">
        <f>Table6[[#This Row],[P Units]]-Table6[[#This Row],[S Units]]</f>
        <v>0</v>
      </c>
      <c r="J17" s="3" t="str">
        <f>IFERROR(Table6[[#This Row],[Cost]]*Table6[[#This Row],[Stock]],"")</f>
        <v/>
      </c>
      <c r="K17" s="3" t="str">
        <f>IFERROR(IF(Table6[[#This Row],[Stock]]&lt;5,"📞 "&amp;Table6[ [#This Row],[Product Name] ]&amp; " Needs to re-order !    PH: "&amp;VLOOKUP(Table6[[#This Row],[HSN Code]],Vendors_data[#All],4,0),""),"")</f>
        <v/>
      </c>
    </row>
    <row r="18" spans="4:11" x14ac:dyDescent="0.35">
      <c r="D18" s="3" t="str">
        <f>IFERROR(Products_data[[#This Row],[HSN Code ]],"")</f>
        <v/>
      </c>
      <c r="E18" s="3" t="str">
        <f>IFERROR(Products_data[[#This Row],[Product Name]],"")</f>
        <v/>
      </c>
      <c r="F18" s="3" t="str">
        <f>IFERROR(Products_data[[#This Row],[Cost]],"")</f>
        <v/>
      </c>
      <c r="G18" s="3">
        <f>IFERROR(SUMIF(Purchase_data[Product Name],Table6[[#This Row],[Product Name]],Purchase_data[Units]),"")</f>
        <v>0</v>
      </c>
      <c r="H18" s="3">
        <f>SUMIF(Table5[Product Name],Table6[[#This Row],[Product Name]],Table5[Units])</f>
        <v>0</v>
      </c>
      <c r="I18" s="3">
        <f>Table6[[#This Row],[P Units]]-Table6[[#This Row],[S Units]]</f>
        <v>0</v>
      </c>
      <c r="J18" s="3" t="str">
        <f>IFERROR(Table6[[#This Row],[Cost]]*Table6[[#This Row],[Stock]],"")</f>
        <v/>
      </c>
      <c r="K18" s="3" t="str">
        <f>IFERROR(IF(Table6[[#This Row],[Stock]]&lt;5,"📞 "&amp;Table6[ [#This Row],[Product Name] ]&amp; " Needs to re-order !    PH: "&amp;VLOOKUP(Table6[[#This Row],[HSN Code]],Vendors_data[#All],4,0),""),"")</f>
        <v/>
      </c>
    </row>
    <row r="19" spans="4:11" x14ac:dyDescent="0.35">
      <c r="D19" s="3" t="str">
        <f>IFERROR(Products_data[[#This Row],[HSN Code ]],"")</f>
        <v/>
      </c>
      <c r="E19" s="3" t="str">
        <f>IFERROR(Products_data[[#This Row],[Product Name]],"")</f>
        <v/>
      </c>
      <c r="F19" s="3" t="str">
        <f>IFERROR(Products_data[[#This Row],[Cost]],"")</f>
        <v/>
      </c>
      <c r="G19" s="3">
        <f>IFERROR(SUMIF(Purchase_data[Product Name],Table6[[#This Row],[Product Name]],Purchase_data[Units]),"")</f>
        <v>0</v>
      </c>
      <c r="H19" s="3">
        <f>SUMIF(Table5[Product Name],Table6[[#This Row],[Product Name]],Table5[Units])</f>
        <v>0</v>
      </c>
      <c r="I19" s="3">
        <f>Table6[[#This Row],[P Units]]-Table6[[#This Row],[S Units]]</f>
        <v>0</v>
      </c>
      <c r="J19" s="3" t="str">
        <f>IFERROR(Table6[[#This Row],[Cost]]*Table6[[#This Row],[Stock]],"")</f>
        <v/>
      </c>
      <c r="K19" s="3" t="str">
        <f>IFERROR(IF(Table6[[#This Row],[Stock]]&lt;5,"📞 "&amp;Table6[ [#This Row],[Product Name] ]&amp; " Needs to re-order !    PH: "&amp;VLOOKUP(Table6[[#This Row],[HSN Code]],Vendors_data[#All],4,0),""),"")</f>
        <v/>
      </c>
    </row>
  </sheetData>
  <dataValidations count="1">
    <dataValidation type="list" allowBlank="1" showInputMessage="1" showErrorMessage="1" sqref="D20:D21" xr:uid="{F5677940-E108-499D-9CC8-2A44D7F32E43}">
      <formula1>hsncode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8387A-6320-4795-A293-E596123B613A}">
  <dimension ref="B1"/>
  <sheetViews>
    <sheetView zoomScale="104" workbookViewId="0">
      <selection sqref="A1:XFD1048576"/>
    </sheetView>
  </sheetViews>
  <sheetFormatPr defaultRowHeight="14.5" x14ac:dyDescent="0.35"/>
  <cols>
    <col min="1" max="1" width="4.26953125" style="1" customWidth="1"/>
    <col min="2" max="2" width="26.6328125" style="2" customWidth="1"/>
    <col min="3" max="16384" width="8.7265625" style="1"/>
  </cols>
  <sheetData>
    <row r="1" s="1" customFormat="1" x14ac:dyDescent="0.3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</vt:i4>
      </vt:variant>
    </vt:vector>
  </HeadingPairs>
  <TitlesOfParts>
    <vt:vector size="12" baseType="lpstr">
      <vt:lpstr>Sheet1</vt:lpstr>
      <vt:lpstr>Dashboard</vt:lpstr>
      <vt:lpstr>Customers</vt:lpstr>
      <vt:lpstr>Products</vt:lpstr>
      <vt:lpstr>Vendors</vt:lpstr>
      <vt:lpstr>New Entry</vt:lpstr>
      <vt:lpstr>Purchase</vt:lpstr>
      <vt:lpstr>Sales</vt:lpstr>
      <vt:lpstr>Inventory</vt:lpstr>
      <vt:lpstr>Pivots</vt:lpstr>
      <vt:lpstr>Customer_ID</vt:lpstr>
      <vt:lpstr>hsncode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Simran Devgun</dc:creator>
  <cp:lastModifiedBy>Simran Devgun</cp:lastModifiedBy>
  <dcterms:created xsi:type="dcterms:W3CDTF">2026-04-07T06:32:14Z</dcterms:created>
  <dcterms:modified xsi:type="dcterms:W3CDTF">2026-04-10T10:34:17Z</dcterms:modified>
</cp:coreProperties>
</file>